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<sst xmlns="http://schemas.openxmlformats.org/spreadsheetml/2006/main" count="67" uniqueCount="65">
  <si>
    <t>Name</t>
  </si>
  <si>
    <t>Type</t>
  </si>
  <si>
    <t>Designator</t>
  </si>
  <si>
    <t>Quantity</t>
  </si>
  <si>
    <t>Price</t>
  </si>
  <si>
    <t>Total Price</t>
  </si>
  <si>
    <t>Supplier 1</t>
  </si>
  <si>
    <t>0108051041050</t>
  </si>
  <si>
    <t>CAP, size 0805, 0.1 nF, 50 VDC</t>
  </si>
  <si>
    <t>C1</t>
  </si>
  <si>
    <t>https://www.thegioiic.com/tu-gom-0805-100nf-0-1uf-50v</t>
  </si>
  <si>
    <t>SMAJ18A</t>
  </si>
  <si>
    <t>400W, 21.1V, 5%, Unidirectional, TVS</t>
  </si>
  <si>
    <t>D1, D3</t>
  </si>
  <si>
    <t>https://www.thegioiic.com/smaj18a</t>
  </si>
  <si>
    <t>ZMM18</t>
  </si>
  <si>
    <t>18V Zener diode</t>
  </si>
  <si>
    <t>D2, D4</t>
  </si>
  <si>
    <t>https://www.thegioiic.com/zmm18-diode-zener-18v-500mw-smd</t>
  </si>
  <si>
    <t>160603RedBlur</t>
  </si>
  <si>
    <t>WL-SMCW SMT Mono-color Chip LED Blur, size 0603, Red, 2V, 140deg</t>
  </si>
  <si>
    <t>D5</t>
  </si>
  <si>
    <t>https://www.thegioiic.com/led-do-0603-dan-smd-trong-suot</t>
  </si>
  <si>
    <t>0605201000250</t>
  </si>
  <si>
    <t>Ceramic Fuse, Size 0520, 250 VAC, 10A</t>
  </si>
  <si>
    <t>F1</t>
  </si>
  <si>
    <t>https://www.thegioiic.com/cau-chi-ong-thuy-tinh-30a-5x20mm-toc-do-f</t>
  </si>
  <si>
    <t>KF301-2P</t>
  </si>
  <si>
    <t>2 Pin Terminal Block 5mm Pitch</t>
  </si>
  <si>
    <t>J1</t>
  </si>
  <si>
    <t>https://www.thegioiic.com/kf301-2-v-domino-2-chan-thang-5-08mm-300v-10a-han-pcb</t>
  </si>
  <si>
    <t>WR-PHD Socket Header, SMT, pitch 2.54mm, Dual Row, Vertical, 24p</t>
  </si>
  <si>
    <t>J2, J3, J5</t>
  </si>
  <si>
    <t>https://www.thegioiic.com/hang-rao-cai-doi-2-54mm-24-chan-2-hang-smd</t>
  </si>
  <si>
    <t>WR-PHD Socket Header, SMT, pitch 2.54mm, Dual Row, Vertical, 8p</t>
  </si>
  <si>
    <t>J4, J7</t>
  </si>
  <si>
    <t>https://www.thegioiic.com/hang-rao-cai-doi-2-54mm-8-chan-2-hang-smd</t>
  </si>
  <si>
    <t>WR-PHD Socket Header, SMT, pitch 2.54mm, Dual Row, Vertical, 20p</t>
  </si>
  <si>
    <t>J6</t>
  </si>
  <si>
    <t>https://www.thegioiic.com/hang-rao-cai-doi-2-54mm-20-chan-2-hang-smd</t>
  </si>
  <si>
    <t>WR-PHD Pin Header, SMT, pitch 2.54mm, Dual Row, Vertical, 24p</t>
  </si>
  <si>
    <t>P1, P2, P3</t>
  </si>
  <si>
    <t>https://www.thegioiic.com/hang-rao-duc-doi-2-54mm-80-chan-2-hang-smd</t>
  </si>
  <si>
    <t>WR-PHD Pin Header, SMT, pitch 2.54mm, Dual Row, Vertical, 20p</t>
  </si>
  <si>
    <t>P4</t>
  </si>
  <si>
    <t>WR-PHD Pin Header, THT, pitch 2.54mm, Single Row, Vertical, 3p</t>
  </si>
  <si>
    <t>P5, P6, P7, P8, P9, P10, P11, P12, P13, P14, P15, P16, P17, P18, P19, P20</t>
  </si>
  <si>
    <t>https://www.thegioiic.com/hang-rao-duc-don-2-54mm-40-chan-1-hang-cao-11-2mm-xuyen-lo</t>
  </si>
  <si>
    <t>AOD4185</t>
  </si>
  <si>
    <t>P-Channel 40V 40A (Tc) 2.5W (Ta), 62.5W (Tc) Surface Mount TO-252, (D-Pak)</t>
  </si>
  <si>
    <t>Q1, Q2, Q3</t>
  </si>
  <si>
    <t>https://www.thegioiic.com/ao3407a-mosfet-kenh-p-30v-4-3a-sot-23-3</t>
  </si>
  <si>
    <t>0008051531</t>
  </si>
  <si>
    <t>RES, size 0805, 15 KOhm, 1/8 W</t>
  </si>
  <si>
    <t>R1, R2, R3</t>
  </si>
  <si>
    <t>https://www.thegioiic.com/dien-tro-15-kohm-0805-5-</t>
  </si>
  <si>
    <t>0006031021</t>
  </si>
  <si>
    <t>RES, size 0603, 1 KOhm, 1/4 W</t>
  </si>
  <si>
    <t>R4</t>
  </si>
  <si>
    <t>https://www.thegioiic.com/dien-tro-1-kohm-0603-5-</t>
  </si>
  <si>
    <t>MP3.2</t>
  </si>
  <si>
    <t>Scr1, Scr2, Scr3, Scr4</t>
  </si>
  <si>
    <t>https://www.thegioiic.com/vit-nhua-m3-dai-5mm</t>
  </si>
  <si>
    <t>PCB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</si>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</sst>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[$VND]\ * #,##0.00_ ;_ [$VND]\ * \-#,##0.00_ ;_ [$VND]\ * &quot;-&quot;??_ ;_ @_ "/>
    <numFmt numFmtId="179" formatCode="[$VND]\ #,##0.00;[$VND]\ \-#,##0.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" fillId="0" borderId="0" xfId="6">
      <alignment vertical="center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179" fontId="4" fillId="0" borderId="0" xfId="0" applyNumberFormat="1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hang-rao-cai-doi-2-54mm-24-chan-2-hang-smd" TargetMode="External"/><Relationship Id="rId8" Type="http://schemas.openxmlformats.org/officeDocument/2006/relationships/hyperlink" Target="https://www.thegioiic.com/hang-rao-duc-don-2-54mm-40-chan-1-hang-cao-11-2mm-xuyen-lo" TargetMode="External"/><Relationship Id="rId7" Type="http://schemas.openxmlformats.org/officeDocument/2006/relationships/hyperlink" Target="https://www.thegioiic.com/hang-rao-duc-doi-2-54mm-80-chan-2-hang-smd" TargetMode="External"/><Relationship Id="rId6" Type="http://schemas.openxmlformats.org/officeDocument/2006/relationships/hyperlink" Target="https://www.thegioiic.com/kf301-2-v-domino-2-chan-thang-5-08mm-300v-10a-han-pcb" TargetMode="External"/><Relationship Id="rId5" Type="http://schemas.openxmlformats.org/officeDocument/2006/relationships/hyperlink" Target="https://www.thegioiic.com/cau-chi-ong-thuy-tinh-30a-5x20mm-toc-do-f" TargetMode="External"/><Relationship Id="rId4" Type="http://schemas.openxmlformats.org/officeDocument/2006/relationships/hyperlink" Target="https://www.thegioiic.com/led-do-0603-dan-smd-trong-suot" TargetMode="External"/><Relationship Id="rId3" Type="http://schemas.openxmlformats.org/officeDocument/2006/relationships/hyperlink" Target="https://www.thegioiic.com/zmm18-diode-zener-18v-500mw-smd" TargetMode="External"/><Relationship Id="rId2" Type="http://schemas.openxmlformats.org/officeDocument/2006/relationships/hyperlink" Target="https://www.thegioiic.com/smaj18a" TargetMode="External"/><Relationship Id="rId15" Type="http://schemas.openxmlformats.org/officeDocument/2006/relationships/hyperlink" Target="https://www.thegioiic.com/vit-nhua-m3-dai-5mm" TargetMode="External"/><Relationship Id="rId14" Type="http://schemas.openxmlformats.org/officeDocument/2006/relationships/hyperlink" Target="https://www.thegioiic.com/dien-tro-1-kohm-0603-5-" TargetMode="External"/><Relationship Id="rId13" Type="http://schemas.openxmlformats.org/officeDocument/2006/relationships/hyperlink" Target="https://www.thegioiic.com/dien-tro-15-kohm-0805-5-" TargetMode="External"/><Relationship Id="rId12" Type="http://schemas.openxmlformats.org/officeDocument/2006/relationships/hyperlink" Target="https://www.thegioiic.com/ao3407a-mosfet-kenh-p-30v-4-3a-sot-23-3" TargetMode="External"/><Relationship Id="rId11" Type="http://schemas.openxmlformats.org/officeDocument/2006/relationships/hyperlink" Target="https://www.thegioiic.com/hang-rao-cai-doi-2-54mm-8-chan-2-hang-smd" TargetMode="External"/><Relationship Id="rId10" Type="http://schemas.openxmlformats.org/officeDocument/2006/relationships/hyperlink" Target="https://www.thegioiic.com/hang-rao-cai-doi-2-54mm-20-chan-2-hang-smd" TargetMode="External"/><Relationship Id="rId1" Type="http://schemas.openxmlformats.org/officeDocument/2006/relationships/hyperlink" Target="https://www.thegioiic.com/tu-gom-0805-100nf-0-1uf-5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D5" sqref="D5"/>
    </sheetView>
  </sheetViews>
  <sheetFormatPr defaultColWidth="8.88888888888889" defaultRowHeight="14.4" outlineLevelCol="6"/>
  <cols>
    <col min="1" max="1" width="15.2222222222222" customWidth="1"/>
    <col min="2" max="2" width="70.8888888888889" customWidth="1"/>
    <col min="3" max="3" width="64" customWidth="1"/>
    <col min="4" max="4" width="18.4444444444444" customWidth="1"/>
    <col min="5" max="5" width="14.2222222222222" customWidth="1"/>
    <col min="6" max="6" width="15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8" t="s">
        <v>7</v>
      </c>
      <c r="B2" t="s">
        <v>8</v>
      </c>
      <c r="C2" t="s">
        <v>9</v>
      </c>
      <c r="D2">
        <v>1</v>
      </c>
      <c r="E2" s="2">
        <v>190</v>
      </c>
      <c r="F2" s="3">
        <f t="shared" ref="F2:F18" si="0">E2*D2</f>
        <v>190</v>
      </c>
      <c r="G2" s="4" t="s">
        <v>10</v>
      </c>
    </row>
    <row r="3" spans="1:7">
      <c r="A3" t="s">
        <v>11</v>
      </c>
      <c r="B3" t="s">
        <v>12</v>
      </c>
      <c r="C3" t="s">
        <v>13</v>
      </c>
      <c r="D3">
        <v>2</v>
      </c>
      <c r="E3" s="2">
        <v>500</v>
      </c>
      <c r="F3" s="3">
        <f t="shared" si="0"/>
        <v>1000</v>
      </c>
      <c r="G3" s="4" t="s">
        <v>14</v>
      </c>
    </row>
    <row r="4" spans="1:7">
      <c r="A4" t="s">
        <v>15</v>
      </c>
      <c r="B4" t="s">
        <v>16</v>
      </c>
      <c r="C4" t="s">
        <v>17</v>
      </c>
      <c r="D4">
        <v>2</v>
      </c>
      <c r="E4" s="2">
        <v>200</v>
      </c>
      <c r="F4" s="3">
        <f t="shared" si="0"/>
        <v>400</v>
      </c>
      <c r="G4" s="4" t="s">
        <v>18</v>
      </c>
    </row>
    <row r="5" spans="1:7">
      <c r="A5" t="s">
        <v>19</v>
      </c>
      <c r="B5" t="s">
        <v>20</v>
      </c>
      <c r="C5" t="s">
        <v>21</v>
      </c>
      <c r="D5">
        <v>1</v>
      </c>
      <c r="E5" s="2">
        <v>180</v>
      </c>
      <c r="F5" s="3">
        <f t="shared" si="0"/>
        <v>180</v>
      </c>
      <c r="G5" s="4" t="s">
        <v>22</v>
      </c>
    </row>
    <row r="6" spans="1:7">
      <c r="A6" s="8" t="s">
        <v>23</v>
      </c>
      <c r="B6" t="s">
        <v>24</v>
      </c>
      <c r="C6" t="s">
        <v>25</v>
      </c>
      <c r="D6">
        <v>1</v>
      </c>
      <c r="E6" s="2">
        <v>500</v>
      </c>
      <c r="F6" s="3">
        <f t="shared" si="0"/>
        <v>500</v>
      </c>
      <c r="G6" s="4" t="s">
        <v>26</v>
      </c>
    </row>
    <row r="7" spans="1:7">
      <c r="A7" t="s">
        <v>27</v>
      </c>
      <c r="B7" t="s">
        <v>28</v>
      </c>
      <c r="C7" t="s">
        <v>29</v>
      </c>
      <c r="D7">
        <v>1</v>
      </c>
      <c r="E7" s="2">
        <v>1500</v>
      </c>
      <c r="F7" s="3">
        <f t="shared" si="0"/>
        <v>1500</v>
      </c>
      <c r="G7" s="4" t="s">
        <v>30</v>
      </c>
    </row>
    <row r="8" spans="1:7">
      <c r="A8">
        <v>61032421821</v>
      </c>
      <c r="B8" t="s">
        <v>31</v>
      </c>
      <c r="C8" t="s">
        <v>32</v>
      </c>
      <c r="D8">
        <v>3</v>
      </c>
      <c r="E8" s="2">
        <v>4200</v>
      </c>
      <c r="F8" s="3">
        <f t="shared" si="0"/>
        <v>12600</v>
      </c>
      <c r="G8" s="4" t="s">
        <v>33</v>
      </c>
    </row>
    <row r="9" spans="1:7">
      <c r="A9">
        <v>61030821821</v>
      </c>
      <c r="B9" t="s">
        <v>34</v>
      </c>
      <c r="C9" t="s">
        <v>35</v>
      </c>
      <c r="D9">
        <v>2</v>
      </c>
      <c r="E9" s="2">
        <v>1500</v>
      </c>
      <c r="F9" s="3">
        <f t="shared" si="0"/>
        <v>3000</v>
      </c>
      <c r="G9" s="4" t="s">
        <v>36</v>
      </c>
    </row>
    <row r="10" spans="1:7">
      <c r="A10">
        <v>61032021821</v>
      </c>
      <c r="B10" t="s">
        <v>37</v>
      </c>
      <c r="C10" t="s">
        <v>38</v>
      </c>
      <c r="D10">
        <v>1</v>
      </c>
      <c r="E10" s="2">
        <v>3700</v>
      </c>
      <c r="F10" s="3">
        <f t="shared" si="0"/>
        <v>3700</v>
      </c>
      <c r="G10" s="4" t="s">
        <v>39</v>
      </c>
    </row>
    <row r="11" spans="1:7">
      <c r="A11">
        <v>61002421121</v>
      </c>
      <c r="B11" t="s">
        <v>40</v>
      </c>
      <c r="C11" t="s">
        <v>41</v>
      </c>
      <c r="D11">
        <v>3</v>
      </c>
      <c r="E11" s="2">
        <v>4500</v>
      </c>
      <c r="F11" s="3">
        <f t="shared" si="0"/>
        <v>13500</v>
      </c>
      <c r="G11" s="5" t="s">
        <v>42</v>
      </c>
    </row>
    <row r="12" spans="1:7">
      <c r="A12">
        <v>61032021121</v>
      </c>
      <c r="B12" t="s">
        <v>43</v>
      </c>
      <c r="C12" t="s">
        <v>44</v>
      </c>
      <c r="D12">
        <v>1</v>
      </c>
      <c r="E12" s="2">
        <v>4500</v>
      </c>
      <c r="F12" s="3">
        <f t="shared" si="0"/>
        <v>4500</v>
      </c>
      <c r="G12" s="5" t="s">
        <v>42</v>
      </c>
    </row>
    <row r="13" spans="1:7">
      <c r="A13">
        <v>61300311121</v>
      </c>
      <c r="B13" t="s">
        <v>45</v>
      </c>
      <c r="C13" t="s">
        <v>46</v>
      </c>
      <c r="D13">
        <v>16</v>
      </c>
      <c r="E13" s="2">
        <v>700</v>
      </c>
      <c r="F13" s="3">
        <f t="shared" si="0"/>
        <v>11200</v>
      </c>
      <c r="G13" s="4" t="s">
        <v>47</v>
      </c>
    </row>
    <row r="14" spans="1:7">
      <c r="A14" t="s">
        <v>48</v>
      </c>
      <c r="B14" t="s">
        <v>49</v>
      </c>
      <c r="C14" t="s">
        <v>50</v>
      </c>
      <c r="D14">
        <v>3</v>
      </c>
      <c r="E14" s="2">
        <v>2000</v>
      </c>
      <c r="F14" s="3">
        <f t="shared" si="0"/>
        <v>6000</v>
      </c>
      <c r="G14" s="4" t="s">
        <v>51</v>
      </c>
    </row>
    <row r="15" spans="1:7">
      <c r="A15" s="8" t="s">
        <v>52</v>
      </c>
      <c r="B15" t="s">
        <v>53</v>
      </c>
      <c r="C15" t="s">
        <v>54</v>
      </c>
      <c r="D15">
        <v>3</v>
      </c>
      <c r="E15" s="2">
        <v>50</v>
      </c>
      <c r="F15" s="3">
        <f t="shared" si="0"/>
        <v>150</v>
      </c>
      <c r="G15" s="4" t="s">
        <v>55</v>
      </c>
    </row>
    <row r="16" spans="1:7">
      <c r="A16" s="8" t="s">
        <v>56</v>
      </c>
      <c r="B16" t="s">
        <v>57</v>
      </c>
      <c r="C16" t="s">
        <v>58</v>
      </c>
      <c r="D16">
        <v>1</v>
      </c>
      <c r="E16" s="2">
        <v>32</v>
      </c>
      <c r="F16" s="3">
        <f t="shared" si="0"/>
        <v>32</v>
      </c>
      <c r="G16" s="4" t="s">
        <v>59</v>
      </c>
    </row>
    <row r="17" spans="1:7">
      <c r="A17" t="s">
        <v>60</v>
      </c>
      <c r="C17" t="s">
        <v>61</v>
      </c>
      <c r="D17">
        <v>4</v>
      </c>
      <c r="E17" s="2">
        <v>380</v>
      </c>
      <c r="F17" s="3">
        <f t="shared" si="0"/>
        <v>1520</v>
      </c>
      <c r="G17" s="4" t="s">
        <v>62</v>
      </c>
    </row>
    <row r="18" spans="1:6">
      <c r="A18" t="s">
        <v>63</v>
      </c>
      <c r="B18" t="s">
        <v>63</v>
      </c>
      <c r="D18">
        <v>5</v>
      </c>
      <c r="E18" s="3">
        <v>20000</v>
      </c>
      <c r="F18" s="3">
        <f t="shared" si="0"/>
        <v>100000</v>
      </c>
    </row>
    <row r="19" spans="5:6">
      <c r="E19" s="6" t="s">
        <v>64</v>
      </c>
      <c r="F19" s="7">
        <f>SUM(F2:F18)-4*E18</f>
        <v>79972</v>
      </c>
    </row>
  </sheetData>
  <hyperlinks>
    <hyperlink ref="G2" r:id="rId1" display="https://www.thegioiic.com/tu-gom-0805-100nf-0-1uf-50v"/>
    <hyperlink ref="G3" r:id="rId2" display="https://www.thegioiic.com/smaj18a"/>
    <hyperlink ref="G4" r:id="rId3" display="https://www.thegioiic.com/zmm18-diode-zener-18v-500mw-smd"/>
    <hyperlink ref="G5" r:id="rId4" display="https://www.thegioiic.com/led-do-0603-dan-smd-trong-suot"/>
    <hyperlink ref="G6" r:id="rId5" display="https://www.thegioiic.com/cau-chi-ong-thuy-tinh-30a-5x20mm-toc-do-f"/>
    <hyperlink ref="G7" r:id="rId6" display="https://www.thegioiic.com/kf301-2-v-domino-2-chan-thang-5-08mm-300v-10a-han-pcb"/>
    <hyperlink ref="G11" r:id="rId7" display="https://www.thegioiic.com/hang-rao-duc-doi-2-54mm-80-chan-2-hang-smd"/>
    <hyperlink ref="G12" r:id="rId7" display="https://www.thegioiic.com/hang-rao-duc-doi-2-54mm-80-chan-2-hang-smd"/>
    <hyperlink ref="G13" r:id="rId8" display="https://www.thegioiic.com/hang-rao-duc-don-2-54mm-40-chan-1-hang-cao-11-2mm-xuyen-lo"/>
    <hyperlink ref="G8" r:id="rId9" display="https://www.thegioiic.com/hang-rao-cai-doi-2-54mm-24-chan-2-hang-smd"/>
    <hyperlink ref="G10" r:id="rId10" display="https://www.thegioiic.com/hang-rao-cai-doi-2-54mm-20-chan-2-hang-smd"/>
    <hyperlink ref="G9" r:id="rId11" display="https://www.thegioiic.com/hang-rao-cai-doi-2-54mm-8-chan-2-hang-smd"/>
    <hyperlink ref="G14" r:id="rId12" display="https://www.thegioiic.com/ao3407a-mosfet-kenh-p-30v-4-3a-sot-23-3"/>
    <hyperlink ref="G15" r:id="rId13" display="https://www.thegioiic.com/dien-tro-15-kohm-0805-5-"/>
    <hyperlink ref="G16" r:id="rId14" display="https://www.thegioiic.com/dien-tro-1-kohm-0603-5-"/>
    <hyperlink ref="G17" r:id="rId15" display="https://www.thegioiic.com/vit-nhua-m3-dai-5m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2025-07-19T07:09:00Z</dcterms:created>
  <dcterms:modified xsi:type="dcterms:W3CDTF">2025-07-27T09:06:15Z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562B2A40074940D2A98940AE1873FC73_11</vt:lpwstr>
  </property>
  <property fmtid="{D5CDD505-2E9C-101B-9397-08002B2CF9AE}" pid="3" name="KSOProductBuildVer">
    <vt:lpwstr>1033-12.2.0.21931</vt:lpwstr>
  </property>
</Properties>
</file>