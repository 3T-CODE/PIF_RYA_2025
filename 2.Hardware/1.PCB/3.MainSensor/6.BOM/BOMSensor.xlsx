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<sst xmlns="http://schemas.openxmlformats.org/spreadsheetml/2006/main" count="160" uniqueCount="141">
  <si>
    <t>Name</t>
  </si>
  <si>
    <t>Type</t>
  </si>
  <si>
    <t>Designator</t>
  </si>
  <si>
    <t>Quantity</t>
  </si>
  <si>
    <t>Price</t>
  </si>
  <si>
    <t>Total Price</t>
  </si>
  <si>
    <t>Supplier 1</t>
  </si>
  <si>
    <t>C0603C200J5GACTU</t>
  </si>
  <si>
    <t>100nF 0603</t>
  </si>
  <si>
    <t>C1_DS1, C1_DS2, C1_DS3, C1_DS4, C2_DS1, C2_DS2, C2_DS3, C2_DS4, C3_DS1, C3_DS2, C3_DS3, C3_DS4, C4_DS1, C4_DS2, C4_DS3, C4_DS4, C6_LS1, C6_LS2, C6_LS3, C6_LS4, C6_LS5, C7_LS1, C7_LS2, C7_LS3, C7_LS4, C7_LS5, C8_LS1, C8_LS2, C8_LS3, C8_LS4, C8_LS5, C9_LS1, C9_LS2, C9_LS3, C9_LS4, C9_LS5</t>
  </si>
  <si>
    <t>https://www.thegioiic.com/tu-gom-0603-100nf-0-1uf-50v</t>
  </si>
  <si>
    <t>GRM155R71C104KA88D</t>
  </si>
  <si>
    <t>100NF 0402</t>
  </si>
  <si>
    <t>C5_DS1, C5_DS2, C5_DS3, C5_DS4, C10_LS1, C10_LS2, C10_LS3, C10_LS4, C10_LS5</t>
  </si>
  <si>
    <t>https://www.thegioiic.com/tu-gom-0402-100nf-0-1uf-50v</t>
  </si>
  <si>
    <t>100 nF</t>
  </si>
  <si>
    <t>CAP, size 0603, 100 nF, 50 VDC</t>
  </si>
  <si>
    <t>C16, C18, C19, C20, C21, C22, C23, C24, C26, C27, C28, C38</t>
  </si>
  <si>
    <t>10 uF</t>
  </si>
  <si>
    <t>CAP, size 0603, 10 uF, 10 VDC</t>
  </si>
  <si>
    <t>C17, C31, C34</t>
  </si>
  <si>
    <t>https://www.thegioiic.com/tu-gom-0603-10uf-25v</t>
  </si>
  <si>
    <t>CAP, size 0603, 100 nF</t>
  </si>
  <si>
    <t>C25</t>
  </si>
  <si>
    <t>10 nF</t>
  </si>
  <si>
    <t>CAP, size 0603, 10 nF, 50 VDC</t>
  </si>
  <si>
    <t>C29</t>
  </si>
  <si>
    <t>https://www.thegioiic.com/tu-gom-0603-10nf-50v</t>
  </si>
  <si>
    <t>1 uF</t>
  </si>
  <si>
    <t>CAP, size 0603, 1 uF, 16 VDC</t>
  </si>
  <si>
    <t>C30, C32, C33</t>
  </si>
  <si>
    <t>https://www.thegioiic.com/tu-gom-0603-1uf-50v</t>
  </si>
  <si>
    <t>22 pF</t>
  </si>
  <si>
    <t>CAP, size 0603, 22 pF, 50 VDC</t>
  </si>
  <si>
    <t>C35, C37</t>
  </si>
  <si>
    <t>https://www.thegioiic.com/tu-gom-0603-22pf-50v</t>
  </si>
  <si>
    <t>CAP, size 0603, 1 uF, 35 VDC</t>
  </si>
  <si>
    <t>C36</t>
  </si>
  <si>
    <t>30 pF</t>
  </si>
  <si>
    <t>CAP, size 0603, 33 pF, 50 VDC</t>
  </si>
  <si>
    <t>C39, C40</t>
  </si>
  <si>
    <t>https://www.thegioiic.com/tu-gom-0603-33pf-50v</t>
  </si>
  <si>
    <t>WP7113SRC/DU</t>
  </si>
  <si>
    <t>Red 640nm LED Indication - Discrete 1.85V Radial</t>
  </si>
  <si>
    <t>D1_DS1, D1_DS2, D1_DS3, D1_DS4</t>
  </si>
  <si>
    <t>https://www.thegioiic.com/cap-led-5mm-thu-phat-hong-ngoai-940nm</t>
  </si>
  <si>
    <t>D2_LS1, D2_LS2, D2_LS3, D2_LS4, D2_LS5</t>
  </si>
  <si>
    <t>Red, 2V</t>
  </si>
  <si>
    <t>WL-SMCW SMT Mono-color Chip LED Waterclear, size 0603, Red, 2V, 140deg</t>
  </si>
  <si>
    <t>D5, D6</t>
  </si>
  <si>
    <t>https://www.thegioiic.com/led-do-0603-dan-smd-trong-suot</t>
  </si>
  <si>
    <t>HSMW-C191</t>
  </si>
  <si>
    <t>LED Uni-Color White, 78 mW, 20 mA, -40 to 85 degC, 2-Pin SMD, RoHS, Tape and Reel</t>
  </si>
  <si>
    <t>DS1_LS1, DS1_LS2, DS1_LS3, DS1_LS4, DS1_LS5</t>
  </si>
  <si>
    <t>https://www.thegioiic.com/led-trang-0603-dan-smd-trong-suot</t>
  </si>
  <si>
    <t>BLM21AG121SN1D</t>
  </si>
  <si>
    <t>FERRITE BEAD 120 OHM 0805 1LN</t>
  </si>
  <si>
    <t>FB1</t>
  </si>
  <si>
    <t>https://www.thegioiic.com/cbw201209u121t-ferrite-beads-2a-120-ohm-0805</t>
  </si>
  <si>
    <t>B2B-XH-A</t>
  </si>
  <si>
    <t>WR-WTB SMT Male Vertical Shrouded Header, pitch 2.54mm, 4p</t>
  </si>
  <si>
    <t>J2</t>
  </si>
  <si>
    <t>https://www.thegioiic.com/dau-xh2-54mm-2-chan-thang-xuyen-lo</t>
  </si>
  <si>
    <t>WR-PHD Pin Header, THT, pitch 2.54mm, Dual Row, Vertical, 6p</t>
  </si>
  <si>
    <t>P1</t>
  </si>
  <si>
    <t>https://www.thegioiic.com/hang-rao-duc-don-2-54mm-40-chan-1-hang-cao-11-2mm-xuyen-lo</t>
  </si>
  <si>
    <t>WR-PHD Pin Header, THT, pitch 2.54mm, Single Row, Vertical, 4p</t>
  </si>
  <si>
    <t>P2</t>
  </si>
  <si>
    <t>665303124022</t>
  </si>
  <si>
    <t>WR-WTB SMT Male Vertical Shrouded Header, pitch 1mm, 3p</t>
  </si>
  <si>
    <t>P3</t>
  </si>
  <si>
    <t>https://www.thegioiic.com/dau-sh1-0mm-3-chan-dan-smd-thang-dung</t>
  </si>
  <si>
    <t>665304124022</t>
  </si>
  <si>
    <t>WR-WTB SMT Male Vertical Shrouded Header, pitch 1mm, 4p</t>
  </si>
  <si>
    <t>P4</t>
  </si>
  <si>
    <t>https://www.thegioiic.com/dau-sh1-0mm-4-chan-dan-smd-thang-dung</t>
  </si>
  <si>
    <t>SFH_313_FA-3/4</t>
  </si>
  <si>
    <t>Phototransistors 870nm Top View Radial - 2 Leads</t>
  </si>
  <si>
    <t>Q1_DS1, Q1_DS2, Q1_DS3, Q1_DS4</t>
  </si>
  <si>
    <t>BC817-16LT1G</t>
  </si>
  <si>
    <t>General Purpose Transistor, NPN Silicon, 3-Pin SOT-23, Pb-Free, Tape and Reel</t>
  </si>
  <si>
    <t>Q2_DS1, Q2_DS2, Q2_DS3, Q2_DS4, Q4_LS1, Q4_LS2, Q4_LS3, Q4_LS4, Q4_LS5</t>
  </si>
  <si>
    <t>https://www.thegioiic.com/bc817-transistor-npn-45v-0-5a-3-chan-sot-23</t>
  </si>
  <si>
    <t>Q3_LS1, Q3_LS2, Q3_LS3, Q3_LS4, Q3_LS5</t>
  </si>
  <si>
    <t>75 Ohm</t>
  </si>
  <si>
    <t>RES, size 0603, 75 Ohm, 1/4 W</t>
  </si>
  <si>
    <t>R1_DS1, R1_DS2, R1_DS3, R1_DS4, R4_LS1, R4_LS2, R4_LS3, R4_LS4, R4_LS5</t>
  </si>
  <si>
    <t>https://www.thegioiic.com/dien-tro-75-ohm-0603-5-</t>
  </si>
  <si>
    <t>1 kOhm</t>
  </si>
  <si>
    <t>RES, size 0603, 1 KOhm, 1/4 W</t>
  </si>
  <si>
    <t>R2_DS1, R2_DS2, R2_DS3, R2_DS4, R3_DS1, R3_DS2, R3_DS3, R3_DS4, R5_LS1, R5_LS2, R5_LS3, R5_LS4, R5_LS5, R6_LS1, R6_LS2, R6_LS3, R6_LS4, R6_LS5, R7_LS1, R7_LS2, R7_LS3, R7_LS4, R7_LS5</t>
  </si>
  <si>
    <t>https://www.thegioiic.com/dien-tro-1-kohm-0603-5-</t>
  </si>
  <si>
    <t>100 kOhm</t>
  </si>
  <si>
    <t>RES, size 0603, 100 KOhm, 1/4 W</t>
  </si>
  <si>
    <t>R14, R15</t>
  </si>
  <si>
    <t>https://www.thegioiic.com/dien-tro-100-kohm-0603-5-</t>
  </si>
  <si>
    <t>R16, R17</t>
  </si>
  <si>
    <t>10 kOhm</t>
  </si>
  <si>
    <t>RES, size 0603, 10 KOhm, 1/4 W</t>
  </si>
  <si>
    <t>R18</t>
  </si>
  <si>
    <t>https://www.thegioiic.com/dien-tro-10-kohm-0603-5-</t>
  </si>
  <si>
    <t>1 MOhm</t>
  </si>
  <si>
    <t>RES, size 0603, 1 MOhm, 1/4 W</t>
  </si>
  <si>
    <t>R19</t>
  </si>
  <si>
    <t>https://www.thegioiic.com/dien-tro-1-mohm-0603-5-</t>
  </si>
  <si>
    <t>0 Ohm</t>
  </si>
  <si>
    <t>RES, size 0603, 0 Ohm, 1/4 W</t>
  </si>
  <si>
    <t>R20, R22</t>
  </si>
  <si>
    <t>https://www.thegioiic.com/dien-tro-0-ohm-0603-5-</t>
  </si>
  <si>
    <t>120 Ohm</t>
  </si>
  <si>
    <t>RES, size 0603, 120 Ohm, 1/4 W</t>
  </si>
  <si>
    <t>R21</t>
  </si>
  <si>
    <t>https://www.thegioiic.com/dien-tro-120-ohm-0603-5-</t>
  </si>
  <si>
    <t>1k Ohm</t>
  </si>
  <si>
    <t>R23, R24</t>
  </si>
  <si>
    <t>M3Screw</t>
  </si>
  <si>
    <t>Screw M3</t>
  </si>
  <si>
    <t>Scr1, Scr2, Scr3, Scr4</t>
  </si>
  <si>
    <t>https://www.thegioiic.com/vit-nhua-m3-dai-5mm</t>
  </si>
  <si>
    <t>430152043826</t>
  </si>
  <si>
    <t>WS-TASV SMT Tact Switch, L6 x W6 x H4.3mm, 260g, SPST-NO, 12V, 50mA</t>
  </si>
  <si>
    <t>SW1, SW2, SW3</t>
  </si>
  <si>
    <t>https://www.thegioiic.com/nut-nhan-3x6mm-cao-5mm-2-chan-smd-dau-trang</t>
  </si>
  <si>
    <t>STM32F103C8T6</t>
  </si>
  <si>
    <t>ARM Microcontrollers - MCU 32BIT Cortex M3 64KB 20KB RAM 2X12 ADC</t>
  </si>
  <si>
    <t>U2</t>
  </si>
  <si>
    <t>https://www.thegioiic.com/stm32f103c8t6-32-bit-arm-cortex-m3-microcontroller-72mhz-64kb-flash-48-lqfp</t>
  </si>
  <si>
    <t>3.3V, 1A</t>
  </si>
  <si>
    <t>AMS1117-3.3V, OUT 3.3V 1A.</t>
  </si>
  <si>
    <t>U3</t>
  </si>
  <si>
    <t>https://www.thegioiic.com/ams1117-3-3v-ic-on-ap-3-3v-1a-sot-223</t>
  </si>
  <si>
    <t>TJA1050T</t>
  </si>
  <si>
    <t>1/1 Transceiver Half CANbus 8-SO</t>
  </si>
  <si>
    <t>U4</t>
  </si>
  <si>
    <t>https://www.thegioiic.com/tja1050t-ic-can-transceiver-8-soic</t>
  </si>
  <si>
    <t>ABM8AIG-8.000MHZ-8-V1R-T</t>
  </si>
  <si>
    <t>8 MHz Â±10ppm Crystal 8pF 500 Ohms 4-SMD, No Lead</t>
  </si>
  <si>
    <t>Y1</t>
  </si>
  <si>
    <t>https://www.thegioiic.com/thach-anh-8mhz-3225-4-chan-smd</t>
  </si>
  <si>
    <t>PCB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</si>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</sst>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[$VND]\ * #,##0.00_ ;_ [$VND]\ * \-#,##0.00_ ;_ [$VND]\ * &quot;-&quot;??_ ;_ @_ "/>
    <numFmt numFmtId="179" formatCode="[$VND]\ #,##0.00;[$VND]\ \-#,##0.00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0" applyNumberFormat="1">
      <alignment vertical="center"/>
    </xf>
    <xf numFmtId="0" fontId="2" fillId="0" borderId="0" xfId="6">
      <alignment vertical="center"/>
    </xf>
    <xf numFmtId="0" fontId="3" fillId="0" borderId="0" xfId="6" applyFont="1">
      <alignment vertical="center"/>
    </xf>
    <xf numFmtId="179" fontId="0" fillId="0" borderId="0" xfId="0" applyNumberFormat="1">
      <alignment vertical="center"/>
    </xf>
    <xf numFmtId="0" fontId="4" fillId="0" borderId="0" xfId="0" applyFont="1">
      <alignment vertical="center"/>
    </xf>
    <xf numFmtId="179" fontId="4" fillId="0" borderId="0" xfId="0" applyNumberFormat="1" applyFont="1">
      <alignment vertical="center"/>
    </xf>
    <xf numFmtId="0" fontId="0" fillId="0" borderId="0" xfId="0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led-do-0603-dan-smd-trong-suot" TargetMode="External"/><Relationship Id="rId8" Type="http://schemas.openxmlformats.org/officeDocument/2006/relationships/hyperlink" Target="https://www.thegioiic.com/cap-led-5mm-thu-phat-hong-ngoai-940nm" TargetMode="External"/><Relationship Id="rId7" Type="http://schemas.openxmlformats.org/officeDocument/2006/relationships/hyperlink" Target="https://www.thegioiic.com/tu-gom-0603-33pf-50v" TargetMode="External"/><Relationship Id="rId6" Type="http://schemas.openxmlformats.org/officeDocument/2006/relationships/hyperlink" Target="https://www.thegioiic.com/tu-gom-0603-22pf-50v" TargetMode="External"/><Relationship Id="rId5" Type="http://schemas.openxmlformats.org/officeDocument/2006/relationships/hyperlink" Target="https://www.thegioiic.com/tu-gom-0603-1uf-50v" TargetMode="External"/><Relationship Id="rId4" Type="http://schemas.openxmlformats.org/officeDocument/2006/relationships/hyperlink" Target="https://www.thegioiic.com/tu-gom-0603-10nf-50v" TargetMode="External"/><Relationship Id="rId3" Type="http://schemas.openxmlformats.org/officeDocument/2006/relationships/hyperlink" Target="https://www.thegioiic.com/tu-gom-0603-10uf-25v" TargetMode="External"/><Relationship Id="rId29" Type="http://schemas.openxmlformats.org/officeDocument/2006/relationships/hyperlink" Target="https://www.thegioiic.com/thach-anh-8mhz-3225-4-chan-smd" TargetMode="External"/><Relationship Id="rId28" Type="http://schemas.openxmlformats.org/officeDocument/2006/relationships/hyperlink" Target="https://www.thegioiic.com/tja1050t-ic-can-transceiver-8-soic" TargetMode="External"/><Relationship Id="rId27" Type="http://schemas.openxmlformats.org/officeDocument/2006/relationships/hyperlink" Target="https://www.thegioiic.com/ams1117-3-3v-ic-on-ap-3-3v-1a-sot-223" TargetMode="External"/><Relationship Id="rId26" Type="http://schemas.openxmlformats.org/officeDocument/2006/relationships/hyperlink" Target="https://www.thegioiic.com/stm32f103c8t6-32-bit-arm-cortex-m3-microcontroller-72mhz-64kb-flash-48-lqfp" TargetMode="External"/><Relationship Id="rId25" Type="http://schemas.openxmlformats.org/officeDocument/2006/relationships/hyperlink" Target="https://www.thegioiic.com/nut-nhan-3x6mm-cao-5mm-2-chan-smd-dau-trang" TargetMode="External"/><Relationship Id="rId24" Type="http://schemas.openxmlformats.org/officeDocument/2006/relationships/hyperlink" Target="https://www.thegioiic.com/vit-nhua-m3-dai-5mm" TargetMode="External"/><Relationship Id="rId23" Type="http://schemas.openxmlformats.org/officeDocument/2006/relationships/hyperlink" Target="https://www.thegioiic.com/dien-tro-120-ohm-0603-5-" TargetMode="External"/><Relationship Id="rId22" Type="http://schemas.openxmlformats.org/officeDocument/2006/relationships/hyperlink" Target="https://www.thegioiic.com/dien-tro-0-ohm-0603-5-" TargetMode="External"/><Relationship Id="rId21" Type="http://schemas.openxmlformats.org/officeDocument/2006/relationships/hyperlink" Target="https://www.thegioiic.com/dien-tro-1-mohm-0603-5-" TargetMode="External"/><Relationship Id="rId20" Type="http://schemas.openxmlformats.org/officeDocument/2006/relationships/hyperlink" Target="https://www.thegioiic.com/dien-tro-10-kohm-0603-5-" TargetMode="External"/><Relationship Id="rId2" Type="http://schemas.openxmlformats.org/officeDocument/2006/relationships/hyperlink" Target="https://www.thegioiic.com/tu-gom-0402-100nf-0-1uf-50v" TargetMode="External"/><Relationship Id="rId19" Type="http://schemas.openxmlformats.org/officeDocument/2006/relationships/hyperlink" Target="https://www.thegioiic.com/dien-tro-100-kohm-0603-5-" TargetMode="External"/><Relationship Id="rId18" Type="http://schemas.openxmlformats.org/officeDocument/2006/relationships/hyperlink" Target="https://www.thegioiic.com/dien-tro-1-kohm-0603-5-" TargetMode="External"/><Relationship Id="rId17" Type="http://schemas.openxmlformats.org/officeDocument/2006/relationships/hyperlink" Target="https://www.thegioiic.com/dien-tro-75-ohm-0603-5-" TargetMode="External"/><Relationship Id="rId16" Type="http://schemas.openxmlformats.org/officeDocument/2006/relationships/hyperlink" Target="https://www.thegioiic.com/bc817-transistor-npn-45v-0-5a-3-chan-sot-23" TargetMode="External"/><Relationship Id="rId15" Type="http://schemas.openxmlformats.org/officeDocument/2006/relationships/hyperlink" Target="https://www.thegioiic.com/dau-sh1-0mm-4-chan-dan-smd-thang-dung" TargetMode="External"/><Relationship Id="rId14" Type="http://schemas.openxmlformats.org/officeDocument/2006/relationships/hyperlink" Target="https://www.thegioiic.com/dau-sh1-0mm-3-chan-dan-smd-thang-dung" TargetMode="External"/><Relationship Id="rId13" Type="http://schemas.openxmlformats.org/officeDocument/2006/relationships/hyperlink" Target="https://www.thegioiic.com/hang-rao-duc-don-2-54mm-40-chan-1-hang-cao-11-2mm-xuyen-lo" TargetMode="External"/><Relationship Id="rId12" Type="http://schemas.openxmlformats.org/officeDocument/2006/relationships/hyperlink" Target="https://www.thegioiic.com/dau-xh2-54mm-2-chan-thang-xuyen-lo" TargetMode="External"/><Relationship Id="rId11" Type="http://schemas.openxmlformats.org/officeDocument/2006/relationships/hyperlink" Target="https://www.thegioiic.com/cbw201209u121t-ferrite-beads-2a-120-ohm-0805" TargetMode="External"/><Relationship Id="rId10" Type="http://schemas.openxmlformats.org/officeDocument/2006/relationships/hyperlink" Target="https://www.thegioiic.com/led-trang-0603-dan-smd-trong-suot" TargetMode="External"/><Relationship Id="rId1" Type="http://schemas.openxmlformats.org/officeDocument/2006/relationships/hyperlink" Target="https://www.thegioiic.com/tu-gom-0603-100nf-0-1uf-50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1"/>
  <sheetViews>
    <sheetView tabSelected="1" topLeftCell="C1" workbookViewId="0">
      <selection activeCell="E5" sqref="E5"/>
    </sheetView>
  </sheetViews>
  <sheetFormatPr defaultColWidth="8.88888888888889" defaultRowHeight="14.4" outlineLevelCol="6"/>
  <cols>
    <col min="1" max="1" width="27.6666666666667" customWidth="1"/>
    <col min="2" max="2" width="99.7777777777778" customWidth="1"/>
    <col min="3" max="3" width="255.777777777778" customWidth="1"/>
    <col min="5" max="5" width="15.2222222222222" customWidth="1"/>
    <col min="6" max="6" width="15.6666666666667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8</v>
      </c>
      <c r="C2" t="s">
        <v>9</v>
      </c>
      <c r="D2">
        <v>36</v>
      </c>
      <c r="E2" s="2">
        <v>190</v>
      </c>
      <c r="F2" s="2">
        <f t="shared" ref="F2:F39" si="0">D2*E2</f>
        <v>6840</v>
      </c>
      <c r="G2" s="3" t="s">
        <v>10</v>
      </c>
    </row>
    <row r="3" spans="1:7">
      <c r="A3" t="s">
        <v>11</v>
      </c>
      <c r="B3" t="s">
        <v>12</v>
      </c>
      <c r="C3" t="s">
        <v>13</v>
      </c>
      <c r="D3">
        <v>9</v>
      </c>
      <c r="E3" s="2">
        <v>250</v>
      </c>
      <c r="F3" s="2">
        <f t="shared" si="0"/>
        <v>2250</v>
      </c>
      <c r="G3" s="3" t="s">
        <v>14</v>
      </c>
    </row>
    <row r="4" spans="1:7">
      <c r="A4" t="s">
        <v>15</v>
      </c>
      <c r="B4" t="s">
        <v>16</v>
      </c>
      <c r="C4" t="s">
        <v>17</v>
      </c>
      <c r="D4">
        <v>12</v>
      </c>
      <c r="E4" s="2">
        <v>190</v>
      </c>
      <c r="F4" s="2">
        <f t="shared" si="0"/>
        <v>2280</v>
      </c>
      <c r="G4" s="3" t="s">
        <v>10</v>
      </c>
    </row>
    <row r="5" spans="1:7">
      <c r="A5" t="s">
        <v>18</v>
      </c>
      <c r="B5" t="s">
        <v>19</v>
      </c>
      <c r="C5" t="s">
        <v>20</v>
      </c>
      <c r="D5">
        <v>3</v>
      </c>
      <c r="E5" s="2">
        <v>700</v>
      </c>
      <c r="F5" s="2">
        <f t="shared" si="0"/>
        <v>2100</v>
      </c>
      <c r="G5" s="3" t="s">
        <v>21</v>
      </c>
    </row>
    <row r="6" spans="1:7">
      <c r="A6" t="s">
        <v>15</v>
      </c>
      <c r="B6" t="s">
        <v>22</v>
      </c>
      <c r="C6" t="s">
        <v>23</v>
      </c>
      <c r="D6">
        <v>1</v>
      </c>
      <c r="E6" s="2">
        <v>190</v>
      </c>
      <c r="F6" s="2">
        <f t="shared" si="0"/>
        <v>190</v>
      </c>
      <c r="G6" s="3" t="s">
        <v>10</v>
      </c>
    </row>
    <row r="7" spans="1:7">
      <c r="A7" t="s">
        <v>24</v>
      </c>
      <c r="B7" t="s">
        <v>25</v>
      </c>
      <c r="C7" t="s">
        <v>26</v>
      </c>
      <c r="D7">
        <v>1</v>
      </c>
      <c r="E7" s="2">
        <v>190</v>
      </c>
      <c r="F7" s="2">
        <f t="shared" si="0"/>
        <v>190</v>
      </c>
      <c r="G7" s="3" t="s">
        <v>27</v>
      </c>
    </row>
    <row r="8" spans="1:7">
      <c r="A8" t="s">
        <v>28</v>
      </c>
      <c r="B8" t="s">
        <v>29</v>
      </c>
      <c r="C8" t="s">
        <v>30</v>
      </c>
      <c r="D8">
        <v>3</v>
      </c>
      <c r="E8" s="2">
        <v>350</v>
      </c>
      <c r="F8" s="2">
        <f t="shared" si="0"/>
        <v>1050</v>
      </c>
      <c r="G8" s="3" t="s">
        <v>31</v>
      </c>
    </row>
    <row r="9" spans="1:7">
      <c r="A9" t="s">
        <v>32</v>
      </c>
      <c r="B9" t="s">
        <v>33</v>
      </c>
      <c r="C9" t="s">
        <v>34</v>
      </c>
      <c r="D9">
        <v>2</v>
      </c>
      <c r="E9" s="2">
        <v>190</v>
      </c>
      <c r="F9" s="2">
        <f t="shared" si="0"/>
        <v>380</v>
      </c>
      <c r="G9" s="3" t="s">
        <v>35</v>
      </c>
    </row>
    <row r="10" spans="1:7">
      <c r="A10" t="s">
        <v>28</v>
      </c>
      <c r="B10" t="s">
        <v>36</v>
      </c>
      <c r="C10" t="s">
        <v>37</v>
      </c>
      <c r="D10">
        <v>1</v>
      </c>
      <c r="E10" s="2">
        <v>350</v>
      </c>
      <c r="F10" s="2">
        <f t="shared" si="0"/>
        <v>350</v>
      </c>
      <c r="G10" s="3" t="s">
        <v>31</v>
      </c>
    </row>
    <row r="11" spans="1:7">
      <c r="A11" t="s">
        <v>38</v>
      </c>
      <c r="B11" t="s">
        <v>39</v>
      </c>
      <c r="C11" t="s">
        <v>40</v>
      </c>
      <c r="D11">
        <v>2</v>
      </c>
      <c r="E11" s="2">
        <v>250</v>
      </c>
      <c r="F11" s="2">
        <f t="shared" si="0"/>
        <v>500</v>
      </c>
      <c r="G11" s="3" t="s">
        <v>41</v>
      </c>
    </row>
    <row r="12" spans="1:7">
      <c r="A12" t="s">
        <v>42</v>
      </c>
      <c r="B12" t="s">
        <v>43</v>
      </c>
      <c r="C12" t="s">
        <v>44</v>
      </c>
      <c r="D12">
        <v>4</v>
      </c>
      <c r="E12" s="2">
        <v>2000</v>
      </c>
      <c r="F12" s="2">
        <f t="shared" si="0"/>
        <v>8000</v>
      </c>
      <c r="G12" s="3" t="s">
        <v>45</v>
      </c>
    </row>
    <row r="13" spans="1:7">
      <c r="A13" t="s">
        <v>42</v>
      </c>
      <c r="B13" t="s">
        <v>43</v>
      </c>
      <c r="C13" t="s">
        <v>46</v>
      </c>
      <c r="D13">
        <v>5</v>
      </c>
      <c r="E13" s="2">
        <v>2000</v>
      </c>
      <c r="F13" s="2">
        <f t="shared" si="0"/>
        <v>10000</v>
      </c>
      <c r="G13" s="3" t="s">
        <v>45</v>
      </c>
    </row>
    <row r="14" spans="1:7">
      <c r="A14" t="s">
        <v>47</v>
      </c>
      <c r="B14" t="s">
        <v>48</v>
      </c>
      <c r="C14" t="s">
        <v>49</v>
      </c>
      <c r="D14">
        <v>2</v>
      </c>
      <c r="E14" s="2">
        <v>180</v>
      </c>
      <c r="F14" s="2">
        <f t="shared" si="0"/>
        <v>360</v>
      </c>
      <c r="G14" s="3" t="s">
        <v>50</v>
      </c>
    </row>
    <row r="15" spans="1:7">
      <c r="A15" t="s">
        <v>51</v>
      </c>
      <c r="B15" t="s">
        <v>52</v>
      </c>
      <c r="C15" t="s">
        <v>53</v>
      </c>
      <c r="D15">
        <v>5</v>
      </c>
      <c r="E15" s="2">
        <v>210</v>
      </c>
      <c r="F15" s="2">
        <f t="shared" si="0"/>
        <v>1050</v>
      </c>
      <c r="G15" s="3" t="s">
        <v>54</v>
      </c>
    </row>
    <row r="16" spans="1:7">
      <c r="A16" t="s">
        <v>55</v>
      </c>
      <c r="B16" t="s">
        <v>56</v>
      </c>
      <c r="C16" t="s">
        <v>57</v>
      </c>
      <c r="D16">
        <v>1</v>
      </c>
      <c r="E16" s="2">
        <v>600</v>
      </c>
      <c r="F16" s="2">
        <f t="shared" si="0"/>
        <v>600</v>
      </c>
      <c r="G16" s="3" t="s">
        <v>58</v>
      </c>
    </row>
    <row r="17" spans="1:7">
      <c r="A17" t="s">
        <v>59</v>
      </c>
      <c r="B17" t="s">
        <v>60</v>
      </c>
      <c r="C17" t="s">
        <v>61</v>
      </c>
      <c r="D17">
        <v>1</v>
      </c>
      <c r="E17" s="2">
        <v>170</v>
      </c>
      <c r="F17" s="2">
        <f t="shared" si="0"/>
        <v>170</v>
      </c>
      <c r="G17" s="3" t="s">
        <v>62</v>
      </c>
    </row>
    <row r="18" spans="1:7">
      <c r="A18">
        <v>61300621121</v>
      </c>
      <c r="B18" t="s">
        <v>63</v>
      </c>
      <c r="C18" t="s">
        <v>64</v>
      </c>
      <c r="D18">
        <v>1</v>
      </c>
      <c r="E18" s="2">
        <v>700</v>
      </c>
      <c r="F18" s="2">
        <f t="shared" si="0"/>
        <v>700</v>
      </c>
      <c r="G18" s="3" t="s">
        <v>65</v>
      </c>
    </row>
    <row r="19" spans="1:7">
      <c r="A19">
        <v>61300411121</v>
      </c>
      <c r="B19" t="s">
        <v>66</v>
      </c>
      <c r="C19" t="s">
        <v>67</v>
      </c>
      <c r="D19">
        <v>1</v>
      </c>
      <c r="E19" s="2">
        <v>700</v>
      </c>
      <c r="F19" s="2">
        <f t="shared" si="0"/>
        <v>700</v>
      </c>
      <c r="G19" s="3" t="s">
        <v>65</v>
      </c>
    </row>
    <row r="20" spans="1:7">
      <c r="A20" s="8" t="s">
        <v>68</v>
      </c>
      <c r="B20" t="s">
        <v>69</v>
      </c>
      <c r="C20" t="s">
        <v>70</v>
      </c>
      <c r="D20">
        <v>1</v>
      </c>
      <c r="E20" s="2">
        <v>800</v>
      </c>
      <c r="F20" s="2">
        <f t="shared" si="0"/>
        <v>800</v>
      </c>
      <c r="G20" s="3" t="s">
        <v>71</v>
      </c>
    </row>
    <row r="21" spans="1:7">
      <c r="A21" s="8" t="s">
        <v>72</v>
      </c>
      <c r="B21" t="s">
        <v>73</v>
      </c>
      <c r="C21" t="s">
        <v>74</v>
      </c>
      <c r="D21">
        <v>1</v>
      </c>
      <c r="E21" s="2">
        <v>900</v>
      </c>
      <c r="F21" s="2">
        <f t="shared" si="0"/>
        <v>900</v>
      </c>
      <c r="G21" s="3" t="s">
        <v>75</v>
      </c>
    </row>
    <row r="22" spans="1:7">
      <c r="A22" t="s">
        <v>76</v>
      </c>
      <c r="B22" t="s">
        <v>77</v>
      </c>
      <c r="C22" t="s">
        <v>78</v>
      </c>
      <c r="D22">
        <v>4</v>
      </c>
      <c r="E22" s="2">
        <v>2000</v>
      </c>
      <c r="F22" s="2">
        <f t="shared" si="0"/>
        <v>8000</v>
      </c>
      <c r="G22" s="3" t="s">
        <v>45</v>
      </c>
    </row>
    <row r="23" spans="1:7">
      <c r="A23" t="s">
        <v>79</v>
      </c>
      <c r="B23" t="s">
        <v>80</v>
      </c>
      <c r="C23" t="s">
        <v>81</v>
      </c>
      <c r="D23">
        <v>9</v>
      </c>
      <c r="E23" s="2">
        <v>400</v>
      </c>
      <c r="F23" s="2">
        <f t="shared" si="0"/>
        <v>3600</v>
      </c>
      <c r="G23" s="3" t="s">
        <v>82</v>
      </c>
    </row>
    <row r="24" spans="1:7">
      <c r="A24" t="s">
        <v>76</v>
      </c>
      <c r="B24" t="s">
        <v>77</v>
      </c>
      <c r="C24" t="s">
        <v>83</v>
      </c>
      <c r="D24">
        <v>5</v>
      </c>
      <c r="E24" s="2">
        <v>2000</v>
      </c>
      <c r="F24" s="2">
        <f t="shared" si="0"/>
        <v>10000</v>
      </c>
      <c r="G24" s="3" t="s">
        <v>45</v>
      </c>
    </row>
    <row r="25" spans="1:7">
      <c r="A25" t="s">
        <v>84</v>
      </c>
      <c r="B25" t="s">
        <v>85</v>
      </c>
      <c r="C25" t="s">
        <v>86</v>
      </c>
      <c r="D25">
        <v>9</v>
      </c>
      <c r="E25" s="2">
        <v>32</v>
      </c>
      <c r="F25" s="2">
        <f t="shared" si="0"/>
        <v>288</v>
      </c>
      <c r="G25" s="4" t="s">
        <v>87</v>
      </c>
    </row>
    <row r="26" spans="1:7">
      <c r="A26" t="s">
        <v>88</v>
      </c>
      <c r="B26" t="s">
        <v>89</v>
      </c>
      <c r="C26" t="s">
        <v>90</v>
      </c>
      <c r="D26">
        <v>23</v>
      </c>
      <c r="E26" s="2">
        <v>32</v>
      </c>
      <c r="F26" s="2">
        <f t="shared" si="0"/>
        <v>736</v>
      </c>
      <c r="G26" s="3" t="s">
        <v>91</v>
      </c>
    </row>
    <row r="27" spans="1:7">
      <c r="A27" t="s">
        <v>92</v>
      </c>
      <c r="B27" t="s">
        <v>93</v>
      </c>
      <c r="C27" t="s">
        <v>94</v>
      </c>
      <c r="D27">
        <v>2</v>
      </c>
      <c r="E27" s="2">
        <v>32</v>
      </c>
      <c r="F27" s="2">
        <f t="shared" si="0"/>
        <v>64</v>
      </c>
      <c r="G27" s="3" t="s">
        <v>95</v>
      </c>
    </row>
    <row r="28" spans="1:7">
      <c r="A28" t="s">
        <v>88</v>
      </c>
      <c r="B28" t="s">
        <v>89</v>
      </c>
      <c r="C28" t="s">
        <v>96</v>
      </c>
      <c r="D28">
        <v>2</v>
      </c>
      <c r="E28" s="2">
        <v>32</v>
      </c>
      <c r="F28" s="2">
        <f t="shared" si="0"/>
        <v>64</v>
      </c>
      <c r="G28" s="3" t="s">
        <v>91</v>
      </c>
    </row>
    <row r="29" spans="1:7">
      <c r="A29" t="s">
        <v>97</v>
      </c>
      <c r="B29" t="s">
        <v>98</v>
      </c>
      <c r="C29" t="s">
        <v>99</v>
      </c>
      <c r="D29">
        <v>1</v>
      </c>
      <c r="E29" s="2">
        <v>32</v>
      </c>
      <c r="F29" s="2">
        <f t="shared" si="0"/>
        <v>32</v>
      </c>
      <c r="G29" s="3" t="s">
        <v>100</v>
      </c>
    </row>
    <row r="30" spans="1:7">
      <c r="A30" t="s">
        <v>101</v>
      </c>
      <c r="B30" t="s">
        <v>102</v>
      </c>
      <c r="C30" t="s">
        <v>103</v>
      </c>
      <c r="D30">
        <v>1</v>
      </c>
      <c r="E30" s="2">
        <v>32</v>
      </c>
      <c r="F30" s="2">
        <f t="shared" si="0"/>
        <v>32</v>
      </c>
      <c r="G30" s="3" t="s">
        <v>104</v>
      </c>
    </row>
    <row r="31" spans="1:7">
      <c r="A31" t="s">
        <v>105</v>
      </c>
      <c r="B31" t="s">
        <v>106</v>
      </c>
      <c r="C31" t="s">
        <v>107</v>
      </c>
      <c r="D31">
        <v>2</v>
      </c>
      <c r="E31" s="2">
        <v>32</v>
      </c>
      <c r="F31" s="2">
        <f t="shared" si="0"/>
        <v>64</v>
      </c>
      <c r="G31" s="3" t="s">
        <v>108</v>
      </c>
    </row>
    <row r="32" spans="1:7">
      <c r="A32" t="s">
        <v>109</v>
      </c>
      <c r="B32" t="s">
        <v>110</v>
      </c>
      <c r="C32" t="s">
        <v>111</v>
      </c>
      <c r="D32">
        <v>1</v>
      </c>
      <c r="E32" s="2">
        <v>32</v>
      </c>
      <c r="F32" s="2">
        <f t="shared" si="0"/>
        <v>32</v>
      </c>
      <c r="G32" s="3" t="s">
        <v>112</v>
      </c>
    </row>
    <row r="33" spans="1:7">
      <c r="A33" t="s">
        <v>113</v>
      </c>
      <c r="B33" t="s">
        <v>89</v>
      </c>
      <c r="C33" t="s">
        <v>114</v>
      </c>
      <c r="D33">
        <v>2</v>
      </c>
      <c r="E33" s="2">
        <v>32</v>
      </c>
      <c r="F33" s="2">
        <f t="shared" si="0"/>
        <v>64</v>
      </c>
      <c r="G33" s="3" t="s">
        <v>91</v>
      </c>
    </row>
    <row r="34" spans="1:7">
      <c r="A34" t="s">
        <v>115</v>
      </c>
      <c r="B34" t="s">
        <v>116</v>
      </c>
      <c r="C34" t="s">
        <v>117</v>
      </c>
      <c r="D34">
        <v>4</v>
      </c>
      <c r="E34" s="2">
        <v>380</v>
      </c>
      <c r="F34" s="2">
        <f t="shared" si="0"/>
        <v>1520</v>
      </c>
      <c r="G34" s="3" t="s">
        <v>118</v>
      </c>
    </row>
    <row r="35" spans="1:7">
      <c r="A35" s="8" t="s">
        <v>119</v>
      </c>
      <c r="B35" t="s">
        <v>120</v>
      </c>
      <c r="C35" t="s">
        <v>121</v>
      </c>
      <c r="D35">
        <v>3</v>
      </c>
      <c r="E35" s="2">
        <v>500</v>
      </c>
      <c r="F35" s="2">
        <f t="shared" si="0"/>
        <v>1500</v>
      </c>
      <c r="G35" s="3" t="s">
        <v>122</v>
      </c>
    </row>
    <row r="36" spans="1:7">
      <c r="A36" t="s">
        <v>123</v>
      </c>
      <c r="B36" t="s">
        <v>124</v>
      </c>
      <c r="C36" t="s">
        <v>125</v>
      </c>
      <c r="D36">
        <v>1</v>
      </c>
      <c r="E36" s="2">
        <v>33000</v>
      </c>
      <c r="F36" s="2">
        <f t="shared" si="0"/>
        <v>33000</v>
      </c>
      <c r="G36" s="3" t="s">
        <v>126</v>
      </c>
    </row>
    <row r="37" spans="1:7">
      <c r="A37" t="s">
        <v>127</v>
      </c>
      <c r="B37" t="s">
        <v>128</v>
      </c>
      <c r="C37" t="s">
        <v>129</v>
      </c>
      <c r="D37">
        <v>1</v>
      </c>
      <c r="E37" s="2">
        <v>3500</v>
      </c>
      <c r="F37" s="2">
        <f t="shared" si="0"/>
        <v>3500</v>
      </c>
      <c r="G37" s="3" t="s">
        <v>130</v>
      </c>
    </row>
    <row r="38" spans="1:7">
      <c r="A38" t="s">
        <v>131</v>
      </c>
      <c r="B38" t="s">
        <v>132</v>
      </c>
      <c r="C38" t="s">
        <v>133</v>
      </c>
      <c r="D38">
        <v>1</v>
      </c>
      <c r="E38" s="2">
        <v>20000</v>
      </c>
      <c r="F38" s="2">
        <f t="shared" si="0"/>
        <v>20000</v>
      </c>
      <c r="G38" s="3" t="s">
        <v>134</v>
      </c>
    </row>
    <row r="39" spans="1:7">
      <c r="A39" t="s">
        <v>135</v>
      </c>
      <c r="B39" t="s">
        <v>136</v>
      </c>
      <c r="C39" t="s">
        <v>137</v>
      </c>
      <c r="D39">
        <v>1</v>
      </c>
      <c r="E39" s="2">
        <v>4000</v>
      </c>
      <c r="F39" s="2">
        <f t="shared" si="0"/>
        <v>4000</v>
      </c>
      <c r="G39" s="3" t="s">
        <v>138</v>
      </c>
    </row>
    <row r="40" spans="1:6">
      <c r="A40" t="s">
        <v>139</v>
      </c>
      <c r="B40" t="s">
        <v>139</v>
      </c>
      <c r="D40">
        <v>5</v>
      </c>
      <c r="E40" s="5">
        <v>20000</v>
      </c>
      <c r="F40" s="5">
        <f>E40*D40</f>
        <v>100000</v>
      </c>
    </row>
    <row r="41" spans="5:6">
      <c r="E41" s="6" t="s">
        <v>140</v>
      </c>
      <c r="F41" s="7">
        <f>SUM(F2:F40)-4*E40</f>
        <v>145906</v>
      </c>
    </row>
  </sheetData>
  <hyperlinks>
    <hyperlink ref="G2" r:id="rId1" display="https://www.thegioiic.com/tu-gom-0603-100nf-0-1uf-50v"/>
    <hyperlink ref="G3" r:id="rId2" display="https://www.thegioiic.com/tu-gom-0402-100nf-0-1uf-50v"/>
    <hyperlink ref="G4" r:id="rId1" display="https://www.thegioiic.com/tu-gom-0603-100nf-0-1uf-50v"/>
    <hyperlink ref="G6" r:id="rId1" display="https://www.thegioiic.com/tu-gom-0603-100nf-0-1uf-50v"/>
    <hyperlink ref="G5" r:id="rId3" display="https://www.thegioiic.com/tu-gom-0603-10uf-25v"/>
    <hyperlink ref="G7" r:id="rId4" display="https://www.thegioiic.com/tu-gom-0603-10nf-50v"/>
    <hyperlink ref="G8" r:id="rId5" display="https://www.thegioiic.com/tu-gom-0603-1uf-50v"/>
    <hyperlink ref="G9" r:id="rId6" display="https://www.thegioiic.com/tu-gom-0603-22pf-50v"/>
    <hyperlink ref="G10" r:id="rId5" display="https://www.thegioiic.com/tu-gom-0603-1uf-50v"/>
    <hyperlink ref="G11" r:id="rId7" display="https://www.thegioiic.com/tu-gom-0603-33pf-50v"/>
    <hyperlink ref="G12" r:id="rId8" display="https://www.thegioiic.com/cap-led-5mm-thu-phat-hong-ngoai-940nm"/>
    <hyperlink ref="G22" r:id="rId8" display="https://www.thegioiic.com/cap-led-5mm-thu-phat-hong-ngoai-940nm"/>
    <hyperlink ref="G13" r:id="rId8" display="https://www.thegioiic.com/cap-led-5mm-thu-phat-hong-ngoai-940nm"/>
    <hyperlink ref="G24" r:id="rId8" display="https://www.thegioiic.com/cap-led-5mm-thu-phat-hong-ngoai-940nm"/>
    <hyperlink ref="G14" r:id="rId9" display="https://www.thegioiic.com/led-do-0603-dan-smd-trong-suot"/>
    <hyperlink ref="G15" r:id="rId10" display="https://www.thegioiic.com/led-trang-0603-dan-smd-trong-suot"/>
    <hyperlink ref="G16" r:id="rId11" display="https://www.thegioiic.com/cbw201209u121t-ferrite-beads-2a-120-ohm-0805"/>
    <hyperlink ref="G17" r:id="rId12" display="https://www.thegioiic.com/dau-xh2-54mm-2-chan-thang-xuyen-lo"/>
    <hyperlink ref="G18" r:id="rId13" display="https://www.thegioiic.com/hang-rao-duc-don-2-54mm-40-chan-1-hang-cao-11-2mm-xuyen-lo"/>
    <hyperlink ref="G19" r:id="rId13" display="https://www.thegioiic.com/hang-rao-duc-don-2-54mm-40-chan-1-hang-cao-11-2mm-xuyen-lo"/>
    <hyperlink ref="G20" r:id="rId14" display="https://www.thegioiic.com/dau-sh1-0mm-3-chan-dan-smd-thang-dung"/>
    <hyperlink ref="G21" r:id="rId15" display="https://www.thegioiic.com/dau-sh1-0mm-4-chan-dan-smd-thang-dung"/>
    <hyperlink ref="G23" r:id="rId16" display="https://www.thegioiic.com/bc817-transistor-npn-45v-0-5a-3-chan-sot-23"/>
    <hyperlink ref="G25" r:id="rId17" display="https://www.thegioiic.com/dien-tro-75-ohm-0603-5-"/>
    <hyperlink ref="G26" r:id="rId18" display="https://www.thegioiic.com/dien-tro-1-kohm-0603-5-" tooltip="https://www.thegioiic.com/dien-tro-1-kohm-0603-5-"/>
    <hyperlink ref="G27" r:id="rId19" display="https://www.thegioiic.com/dien-tro-100-kohm-0603-5-" tooltip="https://www.thegioiic.com/dien-tro-100-kohm-0603-5-"/>
    <hyperlink ref="G28" r:id="rId18" display="https://www.thegioiic.com/dien-tro-1-kohm-0603-5-" tooltip="https://www.thegioiic.com/dien-tro-1-kohm-0603-5-"/>
    <hyperlink ref="G29" r:id="rId20" display="https://www.thegioiic.com/dien-tro-10-kohm-0603-5-"/>
    <hyperlink ref="G30" r:id="rId21" display="https://www.thegioiic.com/dien-tro-1-mohm-0603-5-"/>
    <hyperlink ref="G31" r:id="rId22" display="https://www.thegioiic.com/dien-tro-0-ohm-0603-5-"/>
    <hyperlink ref="G32" r:id="rId23" display="https://www.thegioiic.com/dien-tro-120-ohm-0603-5-"/>
    <hyperlink ref="G33" r:id="rId18" display="https://www.thegioiic.com/dien-tro-1-kohm-0603-5-" tooltip="https://www.thegioiic.com/dien-tro-1-kohm-0603-5-"/>
    <hyperlink ref="G34" r:id="rId24" display="https://www.thegioiic.com/vit-nhua-m3-dai-5mm"/>
    <hyperlink ref="G35" r:id="rId25" display="https://www.thegioiic.com/nut-nhan-3x6mm-cao-5mm-2-chan-smd-dau-trang"/>
    <hyperlink ref="G36" r:id="rId26" display="https://www.thegioiic.com/stm32f103c8t6-32-bit-arm-cortex-m3-microcontroller-72mhz-64kb-flash-48-lqfp"/>
    <hyperlink ref="G37" r:id="rId27" display="https://www.thegioiic.com/ams1117-3-3v-ic-on-ap-3-3v-1a-sot-223"/>
    <hyperlink ref="G38" r:id="rId28" display="https://www.thegioiic.com/tja1050t-ic-can-transceiver-8-soic"/>
    <hyperlink ref="G39" r:id="rId29" display="https://www.thegioiic.com/thach-anh-8mhz-3225-4-chan-smd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crypt</dc:creator>
  <cp:lastModifiedBy>crypt</cp:lastModifiedBy>
  <dcterms:created xsi:type="dcterms:W3CDTF">2025-07-19T07:13:00Z</dcterms:created>
  <dcterms:modified xsi:type="dcterms:W3CDTF">2025-07-27T09:06:24Z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47065C3C21A742E780C06E117B4D457C_11</vt:lpwstr>
  </property>
  <property fmtid="{D5CDD505-2E9C-101B-9397-08002B2CF9AE}" pid="3" name="KSOProductBuildVer">
    <vt:lpwstr>1033-12.2.0.21931</vt:lpwstr>
  </property>
</Properties>
</file>