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280" activeTab="3"/>
  </bookViews>
  <sheets>
    <sheet name="MainBoard" sheetId="1" r:id="rId1"/>
    <sheet name="HBridgeDriver" sheetId="2" r:id="rId2"/>
    <sheet name="HBridgeMCU" sheetId="3" r:id="rId3"/>
    <sheet name="MainSensor" sheetId="4" r:id="rId4"/>
    <sheet name="ServoShield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<sst xmlns="http://schemas.openxmlformats.org/spreadsheetml/2006/main" count="492" uniqueCount="328">
  <si>
    <t>Name</t>
  </si>
  <si>
    <t>Type</t>
  </si>
  <si>
    <t>Designator</t>
  </si>
  <si>
    <t>Quantity</t>
  </si>
  <si>
    <t>Price</t>
  </si>
  <si>
    <t>Total Price</t>
  </si>
  <si>
    <t>Supplier 1</t>
  </si>
  <si>
    <t>0106031010550</t>
  </si>
  <si>
    <t>CAP, size 0603, 100 pF, 50 VDC</t>
  </si>
  <si>
    <t>C1, C2, C3, C5, C6, C7, C12, C15, C22</t>
  </si>
  <si>
    <t>0106034751010</t>
  </si>
  <si>
    <t>CAP, size 0603, 4.7 uF, 10 VDC</t>
  </si>
  <si>
    <t>C4</t>
  </si>
  <si>
    <t>0106032251010</t>
  </si>
  <si>
    <t>CAP, size 0603, 2.2 uF, 10 VDC</t>
  </si>
  <si>
    <t>C8, C13</t>
  </si>
  <si>
    <t>0106031030550</t>
  </si>
  <si>
    <t>CAP, size 0603, 10 nF, 50 VDC</t>
  </si>
  <si>
    <t>C9, C10, C30</t>
  </si>
  <si>
    <t>0106031051035</t>
  </si>
  <si>
    <t>CAP, size 0603, 1 uF, 35 VDC</t>
  </si>
  <si>
    <t>C11, C14</t>
  </si>
  <si>
    <t>0106031000550</t>
  </si>
  <si>
    <t>CAP, size 0603, 10 pF, 50 VDC</t>
  </si>
  <si>
    <t>C16, C17, C18, C19, C31, C32</t>
  </si>
  <si>
    <t>0108051041050</t>
  </si>
  <si>
    <t>CAP, size 0805, 0.1 nF, 50 VDC</t>
  </si>
  <si>
    <t>C20</t>
  </si>
  <si>
    <t>0106031061010</t>
  </si>
  <si>
    <t>CAP, size 0603, 10 uF, 10 VDC</t>
  </si>
  <si>
    <t>C21, C23, C25, C27</t>
  </si>
  <si>
    <t>0106031041050</t>
  </si>
  <si>
    <t>CAP, size 0603, 100 nF, 50 VDC</t>
  </si>
  <si>
    <t>C24, C26, C28</t>
  </si>
  <si>
    <t>0106031051016</t>
  </si>
  <si>
    <t>CAP, size 0603, 1 uF, 16 VDC</t>
  </si>
  <si>
    <t>C29</t>
  </si>
  <si>
    <t>160603RedClear</t>
  </si>
  <si>
    <t>WL-SMCW SMT Mono-color Chip LED Waterclear, size 0603, Red, 2V, 140deg</t>
  </si>
  <si>
    <t>D1, D6, D7, D9</t>
  </si>
  <si>
    <t>SMAJ18A</t>
  </si>
  <si>
    <t>400W, 21.1V, 5%, Unidirectional, TVS</t>
  </si>
  <si>
    <t>D2, D4</t>
  </si>
  <si>
    <t>ZMM18</t>
  </si>
  <si>
    <t>D3, D5</t>
  </si>
  <si>
    <t>CMP-1431-00001-2</t>
  </si>
  <si>
    <t>D8</t>
  </si>
  <si>
    <t>1N5819W</t>
  </si>
  <si>
    <t>D10, D11, D12</t>
  </si>
  <si>
    <t>160603BlueClear</t>
  </si>
  <si>
    <t>WL-SMCW SMT Mono-color Chip LED Waterclear, size 0603, Blue, 3.2V, 140deg</t>
  </si>
  <si>
    <t>D13</t>
  </si>
  <si>
    <t>160603WhiteBlur</t>
  </si>
  <si>
    <t>WL-SMCW SMT Mono-color Chip LED Blur, size 0603, White</t>
  </si>
  <si>
    <t>D14</t>
  </si>
  <si>
    <t>160603RedBlur</t>
  </si>
  <si>
    <t>WL-SMCW SMT Mono-color Chip LED Blur, size 0603, Red, 2V, 140deg</t>
  </si>
  <si>
    <t>D15</t>
  </si>
  <si>
    <t>MF-MSMF110/16-2</t>
  </si>
  <si>
    <t>Resettable Fuse, Size 1812, 16V, 1.1A</t>
  </si>
  <si>
    <t>F1</t>
  </si>
  <si>
    <t>MF-MSMF050-2</t>
  </si>
  <si>
    <t>Resettable Fuse, Size 1812, 15V, 0.5A</t>
  </si>
  <si>
    <t>F2</t>
  </si>
  <si>
    <t>MF-NSMF035-2</t>
  </si>
  <si>
    <t>Resettable Fuse, Size 1206, 6V, 0.35A</t>
  </si>
  <si>
    <t>F3</t>
  </si>
  <si>
    <t>MINISMDC020F</t>
  </si>
  <si>
    <t>Resettable Fuse, Size 1812, 30V, 0.2A</t>
  </si>
  <si>
    <t>F4</t>
  </si>
  <si>
    <t>120R , 0805</t>
  </si>
  <si>
    <t>Ferrite Chip, 1 Function(s), 2A, 2 Pin(s)</t>
  </si>
  <si>
    <t>FB1</t>
  </si>
  <si>
    <t>KF301-2P</t>
  </si>
  <si>
    <t>2 Pin Terminal Block 5mm Pitch</t>
  </si>
  <si>
    <t>J1</t>
  </si>
  <si>
    <t>S8411-45R</t>
  </si>
  <si>
    <t>Coin Cell Battery Retainer, Horizontal SMT, for CR1220 Coin Cell Batteries, Tape &amp; Reeled</t>
  </si>
  <si>
    <t>J2</t>
  </si>
  <si>
    <t>WR-PHD Socket Header, SMT, pitch 2.54mm, Dual Row, Vertical, 24p</t>
  </si>
  <si>
    <t>J3, J4, J6</t>
  </si>
  <si>
    <t>MSD-4-A</t>
  </si>
  <si>
    <t>Micro SD Card Connector, 9 Positions, Connector and Ejector, Push In, Auto Eject Out, Surface Mount, 1.8 mm Height Above Board, Gold Flash</t>
  </si>
  <si>
    <t>J5</t>
  </si>
  <si>
    <t>WR-PHD Socket Header, SMT, pitch 2.54mm, Dual Row, Vertical, 20p</t>
  </si>
  <si>
    <t>J7</t>
  </si>
  <si>
    <t>Mini USB 2.0 Type B Receptacle WR-COM, Horizontal, SMT, with Pads and Pegs</t>
  </si>
  <si>
    <t>J8</t>
  </si>
  <si>
    <t>FEMALE,SMT</t>
  </si>
  <si>
    <t>WR-PHD Socket Header, SMT, pitch 2.54mm, Dual Row, Vertical, 4p</t>
  </si>
  <si>
    <t>J9, J10, J11</t>
  </si>
  <si>
    <t>WR-PHD Pin Header, SMT, pitch 2.54mm, Dual Row, Vertical, 4p</t>
  </si>
  <si>
    <t>J12</t>
  </si>
  <si>
    <t>WR-PHD Socket Header, SMT, pitch 2.54mm, Dual Row, Vertical, 6p</t>
  </si>
  <si>
    <t>J13</t>
  </si>
  <si>
    <t>MALE,SMT, 61030621121</t>
  </si>
  <si>
    <t>WR-PHD Pin Header, SMT, pitch 2.54mm, Dual Row, Vertical, 6p</t>
  </si>
  <si>
    <t>P1, P19</t>
  </si>
  <si>
    <t>WR-PHD Pin Header, SMT, pitch 2.54mm, Dual Row, Vertical, 24p</t>
  </si>
  <si>
    <t>P2, P3, P15</t>
  </si>
  <si>
    <t>665304124022</t>
  </si>
  <si>
    <t>WR-WTB SMT Male Vertical Shrouded Header, pitch 1mm, 4p</t>
  </si>
  <si>
    <t>P4, P5, P6</t>
  </si>
  <si>
    <t>665305124022</t>
  </si>
  <si>
    <t>WR-WTB SMT Male Vertical Shrouded Header, pitch 1mm, 5p</t>
  </si>
  <si>
    <t>P7, P8, P9</t>
  </si>
  <si>
    <t>665303124022</t>
  </si>
  <si>
    <t>WR-WTB SMT Male Vertical Shrouded Header, pitch 1mm, 3p</t>
  </si>
  <si>
    <t>P10, P11, P12, P13, P14</t>
  </si>
  <si>
    <t>WR-PHD Pin Header, SMT, pitch 2.54mm, Dual Row, Vertical, 20p</t>
  </si>
  <si>
    <t>P16</t>
  </si>
  <si>
    <t>WR-PHD Pin Header, SMT, pitch 2.54mm, Dual Row, Vertical, 8p</t>
  </si>
  <si>
    <t>P17, P18</t>
  </si>
  <si>
    <t>AO3407A</t>
  </si>
  <si>
    <t>P-Channel 30 V 4.3A (Ta) 1.4W (Ta) Surface Mount SOT-23-3</t>
  </si>
  <si>
    <t>Q1, Q2, Q3</t>
  </si>
  <si>
    <t>0006031221</t>
  </si>
  <si>
    <t>RES, size 0603, 1.2 KOhm, 1/4 W</t>
  </si>
  <si>
    <t>R1, R20, R21, R23, R24</t>
  </si>
  <si>
    <t>0006030001</t>
  </si>
  <si>
    <t>RES, size 0603, 0 Ohm, 1/4 W</t>
  </si>
  <si>
    <t>R2, R5, R6, R8, R9</t>
  </si>
  <si>
    <t>0006031031</t>
  </si>
  <si>
    <t>RES, size 0603, 10 KOhm, 1/4 W</t>
  </si>
  <si>
    <t>R3, R4, R7, R10, R14, R15, R16, R17, R18, R19, R22, R26, R28, R31</t>
  </si>
  <si>
    <t>0008051031</t>
  </si>
  <si>
    <t>RES, size 0805, 10 KOhm, 1/8 W</t>
  </si>
  <si>
    <t>R11, R12, R13</t>
  </si>
  <si>
    <t>0006031011</t>
  </si>
  <si>
    <t>RES, size 0603, 100 Ohm, 1/4 W</t>
  </si>
  <si>
    <t>R25</t>
  </si>
  <si>
    <t>0006031021</t>
  </si>
  <si>
    <t>RES, size 0603, 1 KOhm, 1/4 W</t>
  </si>
  <si>
    <t>R27, R29, R30</t>
  </si>
  <si>
    <t>0006032001</t>
  </si>
  <si>
    <t>RES, size 0603, 20 Ohm, 1/4 W</t>
  </si>
  <si>
    <t>R32, R33</t>
  </si>
  <si>
    <t>MP3.2</t>
  </si>
  <si>
    <t>Scr1, Scr2, Scr3, Scr4</t>
  </si>
  <si>
    <t>434111050826</t>
  </si>
  <si>
    <t>WS-TASV SMT Tact Switch, L6 x W3.5 x H5mm, 260g, SPST-NO, 12V, 50mA</t>
  </si>
  <si>
    <t>SW1, SW2, SW3</t>
  </si>
  <si>
    <t>STM32F407VxTx</t>
  </si>
  <si>
    <t>ARM Microcontrollers - MCU ARM M4 1024 FLASH 168 Mhz 192kB SRAM</t>
  </si>
  <si>
    <t>U1</t>
  </si>
  <si>
    <t>L7805ACD2T_TO-263</t>
  </si>
  <si>
    <t>Out: 5V, 1.5A; In: 7V to 35V; Pacakge: TO-263</t>
  </si>
  <si>
    <t>U2</t>
  </si>
  <si>
    <t>AMS1117-3.3V</t>
  </si>
  <si>
    <t>AMS1117-3.3V, OUT 3.3V 1A.</t>
  </si>
  <si>
    <t>U3</t>
  </si>
  <si>
    <t>STM32F103C8T6</t>
  </si>
  <si>
    <t>ARM Microcontrollers - MCU 32BIT Cortex M3 64KB 20KB RAM 2X12 ADC</t>
  </si>
  <si>
    <t>U4</t>
  </si>
  <si>
    <t>25Mhz, 3225, 8Mhz, 3225</t>
  </si>
  <si>
    <t>CRYSTAL 25.0000MHZ 8PF SMD</t>
  </si>
  <si>
    <t>Y1, Y3</t>
  </si>
  <si>
    <t>32.7680Khz , 3215</t>
  </si>
  <si>
    <t>Parallel - Fundamental Quartz Crystal, 0.032768MHz Nom</t>
  </si>
  <si>
    <t>Y2</t>
  </si>
  <si>
    <t>PCB</t>
  </si>
  <si>
    <t>CAP, size 0603, 22 uF, 6.3 VDC</t>
  </si>
  <si>
    <t>C1, C2</t>
  </si>
  <si>
    <t>0108051031050</t>
  </si>
  <si>
    <t>CAP, size 0805, 10 nF, 50 VDC</t>
  </si>
  <si>
    <t>C3</t>
  </si>
  <si>
    <t>D1, D2</t>
  </si>
  <si>
    <t>160603GreenClear</t>
  </si>
  <si>
    <t>WL-SMCW SMT Mono-color Chip LED Waterclear, size 0603, Green, 3.2V, 140deg</t>
  </si>
  <si>
    <t>D3</t>
  </si>
  <si>
    <t>D4</t>
  </si>
  <si>
    <t>KF120-2</t>
  </si>
  <si>
    <t>2.54mm Terminal</t>
  </si>
  <si>
    <t>J2, J3</t>
  </si>
  <si>
    <t>90StraightHeader</t>
  </si>
  <si>
    <t>J4</t>
  </si>
  <si>
    <t>IRLR7843TRPBF</t>
  </si>
  <si>
    <t>RoHS Compliant</t>
  </si>
  <si>
    <t>Q1, Q2, Q3, Q4</t>
  </si>
  <si>
    <t>R1, R4, R5, R6, R9, R10</t>
  </si>
  <si>
    <t>R2, R3, R13</t>
  </si>
  <si>
    <t>R7, R8, R11, R12</t>
  </si>
  <si>
    <t>Scr1</t>
  </si>
  <si>
    <t>PC817X2NIP1B</t>
  </si>
  <si>
    <t>Optocoupler DC-IN 1-CH Transistor DC-OUT 4-Pin DIP SMD T/R</t>
  </si>
  <si>
    <t>U1, U4</t>
  </si>
  <si>
    <t>IR2104SPBF</t>
  </si>
  <si>
    <t>Half-Bridge Gate Driver IC Non-Inverting 8-SOIC</t>
  </si>
  <si>
    <t>U2, U3</t>
  </si>
  <si>
    <t>PCB-Pannel</t>
  </si>
  <si>
    <t>C1, C4, C5, C6, C7, C8, C10</t>
  </si>
  <si>
    <t>C2</t>
  </si>
  <si>
    <t>C3, C9</t>
  </si>
  <si>
    <t>0106030600550</t>
  </si>
  <si>
    <t>CAP, size 0603, 6 pF, 50 VDC</t>
  </si>
  <si>
    <t>C11, C12</t>
  </si>
  <si>
    <t>0106033300550</t>
  </si>
  <si>
    <t>CAP, size 0603, 33 pF, 50 VDC</t>
  </si>
  <si>
    <t>C13, C14</t>
  </si>
  <si>
    <t>865080340003</t>
  </si>
  <si>
    <t>V-Chip, D4 x H5.5mm, 22uF, 16V</t>
  </si>
  <si>
    <t>C15, C16</t>
  </si>
  <si>
    <t>C17, C18</t>
  </si>
  <si>
    <t>D3, D7</t>
  </si>
  <si>
    <t>D5, D6</t>
  </si>
  <si>
    <t>D8, D10, D12, D14</t>
  </si>
  <si>
    <t>Schottky-Diode</t>
  </si>
  <si>
    <t>D9, D11, D13, D15</t>
  </si>
  <si>
    <t>0605201000250F</t>
  </si>
  <si>
    <t>Glass Fuse, Size 0520, 250 VAC, 10A, F</t>
  </si>
  <si>
    <t>061812110024</t>
  </si>
  <si>
    <t>Resettable Fuse, Size 1812, 24V, 1.1A</t>
  </si>
  <si>
    <t>F2, F3</t>
  </si>
  <si>
    <t>061812020030</t>
  </si>
  <si>
    <t>796683-3</t>
  </si>
  <si>
    <t>Wire to Board 3 Position 5 mm Pitch 30-12 AWG Euro Style Terminal Block</t>
  </si>
  <si>
    <t>WR-PHD Socket Header, SMT, pitch 2.54mm, Dual Row, Vertical, 12p</t>
  </si>
  <si>
    <t>J3_U_MotorDriverConnector1, J3_U_MotorDriverConnector2, J3_U_MotorDriverConnector3, J3_U_MotorDriverConnector4</t>
  </si>
  <si>
    <t>P1</t>
  </si>
  <si>
    <t>WR-PHD Pin Header, THT, pitch 2.54mm, Single Row, Angled, 4p</t>
  </si>
  <si>
    <t>P2</t>
  </si>
  <si>
    <t>P3</t>
  </si>
  <si>
    <t>P4</t>
  </si>
  <si>
    <t>AOD4185</t>
  </si>
  <si>
    <t>P-Channel 40V 40A (Tc) 2.5W (Ta), 62.5W (Tc) Surface Mount TO-252, (D-Pak)</t>
  </si>
  <si>
    <t>Q4, Q5, Q6</t>
  </si>
  <si>
    <t>R1, R2, R3, R15</t>
  </si>
  <si>
    <t>R4, R8, R12, R14</t>
  </si>
  <si>
    <t>R5, R6, R7, R9, R10, R11_U_MotorDriverConnector1, R11_U_MotorDriverConnector2, R11_U_MotorDriverConnector3, R11_U_MotorDriverConnector4</t>
  </si>
  <si>
    <t>0006031211</t>
  </si>
  <si>
    <t>RES, size 0603, 120 Ohm, 1/4 W</t>
  </si>
  <si>
    <t>R13</t>
  </si>
  <si>
    <t>0008051531</t>
  </si>
  <si>
    <t>RES, size 0805, 15 KOhm, 1/8 W</t>
  </si>
  <si>
    <t>R16, R17, R18, R19, R20, R21</t>
  </si>
  <si>
    <t>434111043826</t>
  </si>
  <si>
    <t>WS-TASV SMT Tact Switch, L6 x W3.5 x H4.3mm, 260g, SPST-NO, 12V, 50mA</t>
  </si>
  <si>
    <t>SW1, SW2_U_MotorDriverConnector1, SW2_U_MotorDriverConnector2, SW2_U_MotorDriverConnector3, SW2_U_MotorDriverConnector4</t>
  </si>
  <si>
    <t>STM32F103RCT6</t>
  </si>
  <si>
    <t>ARMÂ® CortexÂ®-M3 STM32F1 Microcontroller IC 32-Bit 72MHz 256KB (256K x 8) FLASH 64-LQFP (10x10)</t>
  </si>
  <si>
    <t>TJA1050</t>
  </si>
  <si>
    <t>1/1 Transceiver Half CANbus 8-SO</t>
  </si>
  <si>
    <t>CMP-200220-000002-1</t>
  </si>
  <si>
    <t>Y1</t>
  </si>
  <si>
    <t>C0603C200J5GACTU</t>
  </si>
  <si>
    <t>CAP CER 20PF 50V 5% NP0 0603</t>
  </si>
  <si>
    <t>C1_DS1, C1_DS2, C1_DS3, C1_DS4, C2_DS1, C2_DS2, C2_DS3, C2_DS4, C3_DS1, C3_DS2, C3_DS3, C3_DS4, C4_DS1, C4_DS2, C4_DS3, C4_DS4, C6_LS1, C6_LS2, C6_LS3, C6_LS4, C6_LS5, C7_LS1, C7_LS2, C7_LS3, C7_LS4, C7_LS5, C8_LS1, C8_LS2, C8_LS3, C8_LS4, C8_LS5, C9_LS1, C9_LS2, C9_LS3, C9_LS4, C9_LS5</t>
  </si>
  <si>
    <t>GRM155R71C104KA88D</t>
  </si>
  <si>
    <t>CAP CER 0.1UF 16V X7R 0402</t>
  </si>
  <si>
    <t>C5_DS1, C5_DS2, C5_DS3, C5_DS4, C10_LS1, C10_LS2, C10_LS3, C10_LS4, C10_LS5</t>
  </si>
  <si>
    <t>100 nF</t>
  </si>
  <si>
    <t>C16, C18, C19, C20, C21, C22, C23, C24, C26, C27, C28, C38</t>
  </si>
  <si>
    <t>10 uF</t>
  </si>
  <si>
    <t>C17, C31, C34</t>
  </si>
  <si>
    <t>CAP, size 0603, 100 nF</t>
  </si>
  <si>
    <t>C25</t>
  </si>
  <si>
    <t>10 nF</t>
  </si>
  <si>
    <t>1 uF</t>
  </si>
  <si>
    <t>C30, C32, C33</t>
  </si>
  <si>
    <t>22 pF</t>
  </si>
  <si>
    <t>CAP, size 0603, 22 pF, 50 VDC</t>
  </si>
  <si>
    <t>C35, C37</t>
  </si>
  <si>
    <t>C36</t>
  </si>
  <si>
    <t>30 pF</t>
  </si>
  <si>
    <t>C39, C40</t>
  </si>
  <si>
    <t>WP7113SRC/DU</t>
  </si>
  <si>
    <t>Red 640nm LED Indication - Discrete 1.85V Radial</t>
  </si>
  <si>
    <t>D1_DS1, D1_DS2, D1_DS3, D1_DS4</t>
  </si>
  <si>
    <t>D2_LS1, D2_LS2, D2_LS3, D2_LS4, D2_LS5</t>
  </si>
  <si>
    <t>Red, 2V</t>
  </si>
  <si>
    <t>HSMW-C191</t>
  </si>
  <si>
    <t>LED Uni-Color White, 78 mW, 20 mA, -40 to 85 degC, 2-Pin SMD, RoHS, Tape and Reel</t>
  </si>
  <si>
    <t>DS1_LS1, DS1_LS2, DS1_LS3, DS1_LS4, DS1_LS5</t>
  </si>
  <si>
    <t>BLM21AG121SN1D</t>
  </si>
  <si>
    <t>FERRITE BEAD 120 OHM 0805 1LN</t>
  </si>
  <si>
    <t>B2B-XH-A</t>
  </si>
  <si>
    <t>WR-PHD Pin Header, THT, pitch 2.54mm, Dual Row, Vertical, 6p</t>
  </si>
  <si>
    <t>WR-PHD Pin Header, THT, pitch 2.54mm, Single Row, Vertical, 4p</t>
  </si>
  <si>
    <t>SFH_313_FA-3/4</t>
  </si>
  <si>
    <t>Phototransistors 870nm Top View Radial - 2 Leads</t>
  </si>
  <si>
    <t>Q1_DS1, Q1_DS2, Q1_DS3, Q1_DS4</t>
  </si>
  <si>
    <t>BC817-16LT1G</t>
  </si>
  <si>
    <t>General Purpose Transistor, NPN Silicon, 3-Pin SOT-23, Pb-Free, Tape and Reel</t>
  </si>
  <si>
    <t>Q2_DS1, Q2_DS2, Q2_DS3, Q2_DS4, Q4_LS1, Q4_LS2, Q4_LS3, Q4_LS4, Q4_LS5</t>
  </si>
  <si>
    <t>Q3_LS1, Q3_LS2, Q3_LS3, Q3_LS4, Q3_LS5</t>
  </si>
  <si>
    <t>RC0603FR-072K2L</t>
  </si>
  <si>
    <t>Thick Film Resistor, 2.2 KOhm, 100 mW, 50 V, +/- 1%, -55 to 155 degC, 2-Pin SMD (0603), RoHS, Tape and Reel</t>
  </si>
  <si>
    <t>R1_DS1, R1_DS2, R1_DS3, R1_DS4, R4_LS1, R4_LS2, R4_LS3, R4_LS4, R4_LS5</t>
  </si>
  <si>
    <t>ERJ2GE0R00X</t>
  </si>
  <si>
    <t>Chip Resistor, 0 Ohm, 0.1 W, -55 to 155 degC, 0402 (1005 Metric), RoHS, Tape and Reel</t>
  </si>
  <si>
    <t>R2_DS1, R2_DS2, R2_DS3, R2_DS4, R3_DS1, R3_DS2, R3_DS3, R3_DS4, R5_LS1, R5_LS2, R5_LS3, R5_LS4, R5_LS5, R6_LS1, R6_LS2, R6_LS3, R6_LS4, R6_LS5, R7_LS1, R7_LS2, R7_LS3, R7_LS4, R7_LS5</t>
  </si>
  <si>
    <t>100 kOhm</t>
  </si>
  <si>
    <t>RES, size 0603, 100 KOhm, 1/4 W</t>
  </si>
  <si>
    <t>R14, R15</t>
  </si>
  <si>
    <t>1 kOhm</t>
  </si>
  <si>
    <t>R16, R17</t>
  </si>
  <si>
    <t>10 kOhm</t>
  </si>
  <si>
    <t>R18</t>
  </si>
  <si>
    <t>1 MOhm</t>
  </si>
  <si>
    <t>RES, size 0603, 1 MOhm, 1/4 W</t>
  </si>
  <si>
    <t>R19</t>
  </si>
  <si>
    <t>0 Ohm</t>
  </si>
  <si>
    <t>R20, R22</t>
  </si>
  <si>
    <t>120 Ohm</t>
  </si>
  <si>
    <t>R21</t>
  </si>
  <si>
    <t>1k Ohm</t>
  </si>
  <si>
    <t>R23, R24</t>
  </si>
  <si>
    <t>M3Screw</t>
  </si>
  <si>
    <t>430152043826</t>
  </si>
  <si>
    <t>WS-TASV SMT Tact Switch, L6 x W6 x H4.3mm, 260g, SPST-NO, 12V, 50mA</t>
  </si>
  <si>
    <t>3.3V, 1A</t>
  </si>
  <si>
    <t>TJA1050T</t>
  </si>
  <si>
    <t>ABM8AIG-8.000MHZ-8-V1R-T</t>
  </si>
  <si>
    <t>8 MHz Â±10ppm Crystal 8pF 500 Ohms 4-SMD, No Lead</t>
  </si>
  <si>
    <t>C1</t>
  </si>
  <si>
    <t>D1, D3</t>
  </si>
  <si>
    <t>D5</t>
  </si>
  <si>
    <t>0605201000250</t>
  </si>
  <si>
    <t>Ceramic Fuse, Size 0520, 250 VAC, 10A</t>
  </si>
  <si>
    <t>J2, J3, J5</t>
  </si>
  <si>
    <t>WR-PHD Socket Header, SMT, pitch 2.54mm, Dual Row, Vertical, 8p</t>
  </si>
  <si>
    <t>J4, J7</t>
  </si>
  <si>
    <t>J6</t>
  </si>
  <si>
    <t>P1, P2, P3</t>
  </si>
  <si>
    <t>WR-PHD Pin Header, THT, pitch 2.54mm, Single Row, Vertical, 3p</t>
  </si>
  <si>
    <t>P5, P6, P7, P8, P9, P10, P11, P12, P13, P14, P15, P16, P17, P18, P19, P20</t>
  </si>
  <si>
    <t>R1, R2, R3</t>
  </si>
  <si>
    <t>R4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</si>
</sst>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VND]\ #,##0.00;[$VND]\ \-#,##0.00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178" fontId="0" fillId="0" borderId="0" xfId="0" applyNumberFormat="1">
      <alignment vertical="center"/>
    </xf>
    <xf numFmtId="0" fontId="0" fillId="0" borderId="0" xfId="0" quotePrefix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7"/>
  <sheetViews>
    <sheetView zoomScale="96" zoomScaleNormal="96" topLeftCell="B38" workbookViewId="0">
      <selection activeCell="F57" sqref="F57"/>
    </sheetView>
  </sheetViews>
  <sheetFormatPr defaultColWidth="10" defaultRowHeight="14.4" outlineLevelCol="6"/>
  <cols>
    <col min="1" max="1" width="23.7777777777778" customWidth="1"/>
    <col min="2" max="2" width="129.222222222222" customWidth="1"/>
    <col min="3" max="3" width="59.2222222222222" customWidth="1"/>
    <col min="5" max="6" width="15.4444444444444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4">
      <c r="A2" s="2" t="s">
        <v>7</v>
      </c>
      <c r="B2" t="s">
        <v>8</v>
      </c>
      <c r="C2" t="s">
        <v>9</v>
      </c>
      <c r="D2">
        <v>9</v>
      </c>
    </row>
    <row r="3" spans="1:4">
      <c r="A3" s="2" t="s">
        <v>10</v>
      </c>
      <c r="B3" t="s">
        <v>11</v>
      </c>
      <c r="C3" t="s">
        <v>12</v>
      </c>
      <c r="D3">
        <v>1</v>
      </c>
    </row>
    <row r="4" spans="1:4">
      <c r="A4" s="2" t="s">
        <v>13</v>
      </c>
      <c r="B4" t="s">
        <v>14</v>
      </c>
      <c r="C4" t="s">
        <v>15</v>
      </c>
      <c r="D4">
        <v>2</v>
      </c>
    </row>
    <row r="5" spans="1:4">
      <c r="A5" s="2" t="s">
        <v>16</v>
      </c>
      <c r="B5" t="s">
        <v>17</v>
      </c>
      <c r="C5" t="s">
        <v>18</v>
      </c>
      <c r="D5">
        <v>3</v>
      </c>
    </row>
    <row r="6" spans="1:4">
      <c r="A6" s="2" t="s">
        <v>19</v>
      </c>
      <c r="B6" t="s">
        <v>20</v>
      </c>
      <c r="C6" t="s">
        <v>21</v>
      </c>
      <c r="D6">
        <v>2</v>
      </c>
    </row>
    <row r="7" spans="1:4">
      <c r="A7" s="2" t="s">
        <v>22</v>
      </c>
      <c r="B7" t="s">
        <v>23</v>
      </c>
      <c r="C7" t="s">
        <v>24</v>
      </c>
      <c r="D7">
        <v>6</v>
      </c>
    </row>
    <row r="8" spans="1:4">
      <c r="A8" s="2" t="s">
        <v>25</v>
      </c>
      <c r="B8" t="s">
        <v>26</v>
      </c>
      <c r="C8" t="s">
        <v>27</v>
      </c>
      <c r="D8">
        <v>1</v>
      </c>
    </row>
    <row r="9" spans="1:4">
      <c r="A9" s="2" t="s">
        <v>28</v>
      </c>
      <c r="B9" t="s">
        <v>29</v>
      </c>
      <c r="C9" t="s">
        <v>30</v>
      </c>
      <c r="D9">
        <v>4</v>
      </c>
    </row>
    <row r="10" spans="1:4">
      <c r="A10" s="2" t="s">
        <v>31</v>
      </c>
      <c r="B10" t="s">
        <v>32</v>
      </c>
      <c r="C10" t="s">
        <v>33</v>
      </c>
      <c r="D10">
        <v>3</v>
      </c>
    </row>
    <row r="11" spans="1:4">
      <c r="A11" s="2" t="s">
        <v>34</v>
      </c>
      <c r="B11" t="s">
        <v>35</v>
      </c>
      <c r="C11" t="s">
        <v>36</v>
      </c>
      <c r="D11">
        <v>1</v>
      </c>
    </row>
    <row r="12" spans="1:4">
      <c r="A12" t="s">
        <v>37</v>
      </c>
      <c r="B12" t="s">
        <v>38</v>
      </c>
      <c r="C12" t="s">
        <v>39</v>
      </c>
      <c r="D12">
        <v>4</v>
      </c>
    </row>
    <row r="13" spans="1:4">
      <c r="A13" t="s">
        <v>40</v>
      </c>
      <c r="B13" t="s">
        <v>41</v>
      </c>
      <c r="C13" t="s">
        <v>42</v>
      </c>
      <c r="D13">
        <v>2</v>
      </c>
    </row>
    <row r="14" customFormat="1" spans="1:4">
      <c r="A14" t="s">
        <v>43</v>
      </c>
      <c r="C14" t="s">
        <v>44</v>
      </c>
      <c r="D14">
        <v>2</v>
      </c>
    </row>
    <row r="15" customFormat="1" spans="1:4">
      <c r="A15" t="s">
        <v>45</v>
      </c>
      <c r="C15" t="s">
        <v>46</v>
      </c>
      <c r="D15">
        <v>1</v>
      </c>
    </row>
    <row r="16" customFormat="1" spans="1:4">
      <c r="A16" t="s">
        <v>47</v>
      </c>
      <c r="C16" t="s">
        <v>48</v>
      </c>
      <c r="D16">
        <v>3</v>
      </c>
    </row>
    <row r="17" spans="1:4">
      <c r="A17" t="s">
        <v>49</v>
      </c>
      <c r="B17" t="s">
        <v>50</v>
      </c>
      <c r="C17" t="s">
        <v>51</v>
      </c>
      <c r="D17">
        <v>1</v>
      </c>
    </row>
    <row r="18" spans="1:4">
      <c r="A18" t="s">
        <v>52</v>
      </c>
      <c r="B18" t="s">
        <v>53</v>
      </c>
      <c r="C18" t="s">
        <v>54</v>
      </c>
      <c r="D18">
        <v>1</v>
      </c>
    </row>
    <row r="19" spans="1:4">
      <c r="A19" t="s">
        <v>55</v>
      </c>
      <c r="B19" t="s">
        <v>56</v>
      </c>
      <c r="C19" t="s">
        <v>57</v>
      </c>
      <c r="D19">
        <v>1</v>
      </c>
    </row>
    <row r="20" spans="1:4">
      <c r="A20" t="s">
        <v>58</v>
      </c>
      <c r="B20" t="s">
        <v>59</v>
      </c>
      <c r="C20" t="s">
        <v>60</v>
      </c>
      <c r="D20">
        <v>1</v>
      </c>
    </row>
    <row r="21" spans="1:4">
      <c r="A21" t="s">
        <v>61</v>
      </c>
      <c r="B21" t="s">
        <v>62</v>
      </c>
      <c r="C21" t="s">
        <v>63</v>
      </c>
      <c r="D21">
        <v>1</v>
      </c>
    </row>
    <row r="22" spans="1:4">
      <c r="A22" t="s">
        <v>64</v>
      </c>
      <c r="B22" t="s">
        <v>65</v>
      </c>
      <c r="C22" t="s">
        <v>66</v>
      </c>
      <c r="D22">
        <v>1</v>
      </c>
    </row>
    <row r="23" spans="1:4">
      <c r="A23" t="s">
        <v>67</v>
      </c>
      <c r="B23" t="s">
        <v>68</v>
      </c>
      <c r="C23" t="s">
        <v>69</v>
      </c>
      <c r="D23">
        <v>1</v>
      </c>
    </row>
    <row r="24" spans="1:4">
      <c r="A24" t="s">
        <v>70</v>
      </c>
      <c r="B24" t="s">
        <v>71</v>
      </c>
      <c r="C24" t="s">
        <v>72</v>
      </c>
      <c r="D24">
        <v>1</v>
      </c>
    </row>
    <row r="25" spans="1:4">
      <c r="A25" t="s">
        <v>73</v>
      </c>
      <c r="B25" t="s">
        <v>74</v>
      </c>
      <c r="C25" t="s">
        <v>75</v>
      </c>
      <c r="D25">
        <v>1</v>
      </c>
    </row>
    <row r="26" spans="1:4">
      <c r="A26" t="s">
        <v>76</v>
      </c>
      <c r="B26" t="s">
        <v>77</v>
      </c>
      <c r="C26" t="s">
        <v>78</v>
      </c>
      <c r="D26">
        <v>1</v>
      </c>
    </row>
    <row r="27" spans="1:4">
      <c r="A27">
        <v>61032421821</v>
      </c>
      <c r="B27" t="s">
        <v>79</v>
      </c>
      <c r="C27" t="s">
        <v>80</v>
      </c>
      <c r="D27">
        <v>3</v>
      </c>
    </row>
    <row r="28" spans="1:4">
      <c r="A28" t="s">
        <v>81</v>
      </c>
      <c r="B28" t="s">
        <v>82</v>
      </c>
      <c r="C28" t="s">
        <v>83</v>
      </c>
      <c r="D28">
        <v>1</v>
      </c>
    </row>
    <row r="29" spans="1:4">
      <c r="A29">
        <v>61032021821</v>
      </c>
      <c r="B29" t="s">
        <v>84</v>
      </c>
      <c r="C29" t="s">
        <v>85</v>
      </c>
      <c r="D29">
        <v>1</v>
      </c>
    </row>
    <row r="30" spans="1:4">
      <c r="A30">
        <v>65100516121</v>
      </c>
      <c r="B30" t="s">
        <v>86</v>
      </c>
      <c r="C30" t="s">
        <v>87</v>
      </c>
      <c r="D30">
        <v>1</v>
      </c>
    </row>
    <row r="31" spans="1:4">
      <c r="A31" t="s">
        <v>88</v>
      </c>
      <c r="B31" t="s">
        <v>89</v>
      </c>
      <c r="C31" t="s">
        <v>90</v>
      </c>
      <c r="D31">
        <v>3</v>
      </c>
    </row>
    <row r="32" spans="1:4">
      <c r="A32">
        <v>61030421121</v>
      </c>
      <c r="B32" t="s">
        <v>91</v>
      </c>
      <c r="C32" t="s">
        <v>92</v>
      </c>
      <c r="D32">
        <v>1</v>
      </c>
    </row>
    <row r="33" spans="1:4">
      <c r="A33" t="s">
        <v>88</v>
      </c>
      <c r="B33" t="s">
        <v>93</v>
      </c>
      <c r="C33" t="s">
        <v>94</v>
      </c>
      <c r="D33">
        <v>1</v>
      </c>
    </row>
    <row r="34" spans="1:4">
      <c r="A34" t="s">
        <v>95</v>
      </c>
      <c r="B34" t="s">
        <v>96</v>
      </c>
      <c r="C34" t="s">
        <v>97</v>
      </c>
      <c r="D34">
        <v>2</v>
      </c>
    </row>
    <row r="35" spans="1:4">
      <c r="A35">
        <v>61002421121</v>
      </c>
      <c r="B35" t="s">
        <v>98</v>
      </c>
      <c r="C35" t="s">
        <v>99</v>
      </c>
      <c r="D35">
        <v>3</v>
      </c>
    </row>
    <row r="36" spans="1:4">
      <c r="A36" s="2" t="s">
        <v>100</v>
      </c>
      <c r="B36" t="s">
        <v>101</v>
      </c>
      <c r="C36" t="s">
        <v>102</v>
      </c>
      <c r="D36">
        <v>3</v>
      </c>
    </row>
    <row r="37" spans="1:4">
      <c r="A37" s="2" t="s">
        <v>103</v>
      </c>
      <c r="B37" t="s">
        <v>104</v>
      </c>
      <c r="C37" t="s">
        <v>105</v>
      </c>
      <c r="D37">
        <v>3</v>
      </c>
    </row>
    <row r="38" spans="1:4">
      <c r="A38" s="2" t="s">
        <v>106</v>
      </c>
      <c r="B38" t="s">
        <v>107</v>
      </c>
      <c r="C38" t="s">
        <v>108</v>
      </c>
      <c r="D38">
        <v>5</v>
      </c>
    </row>
    <row r="39" spans="1:4">
      <c r="A39">
        <v>61032021121</v>
      </c>
      <c r="B39" t="s">
        <v>109</v>
      </c>
      <c r="C39" t="s">
        <v>110</v>
      </c>
      <c r="D39">
        <v>1</v>
      </c>
    </row>
    <row r="40" spans="1:4">
      <c r="A40">
        <v>61030821121</v>
      </c>
      <c r="B40" t="s">
        <v>111</v>
      </c>
      <c r="C40" t="s">
        <v>112</v>
      </c>
      <c r="D40">
        <v>2</v>
      </c>
    </row>
    <row r="41" spans="1:4">
      <c r="A41" t="s">
        <v>113</v>
      </c>
      <c r="B41" t="s">
        <v>114</v>
      </c>
      <c r="C41" t="s">
        <v>115</v>
      </c>
      <c r="D41">
        <v>3</v>
      </c>
    </row>
    <row r="42" spans="1:4">
      <c r="A42" s="2" t="s">
        <v>116</v>
      </c>
      <c r="B42" t="s">
        <v>117</v>
      </c>
      <c r="C42" t="s">
        <v>118</v>
      </c>
      <c r="D42">
        <v>5</v>
      </c>
    </row>
    <row r="43" spans="1:4">
      <c r="A43" s="2" t="s">
        <v>119</v>
      </c>
      <c r="B43" t="s">
        <v>120</v>
      </c>
      <c r="C43" t="s">
        <v>121</v>
      </c>
      <c r="D43">
        <v>5</v>
      </c>
    </row>
    <row r="44" spans="1:4">
      <c r="A44" s="2" t="s">
        <v>122</v>
      </c>
      <c r="B44" t="s">
        <v>123</v>
      </c>
      <c r="C44" t="s">
        <v>124</v>
      </c>
      <c r="D44">
        <v>14</v>
      </c>
    </row>
    <row r="45" spans="1:4">
      <c r="A45" s="2" t="s">
        <v>125</v>
      </c>
      <c r="B45" t="s">
        <v>126</v>
      </c>
      <c r="C45" t="s">
        <v>127</v>
      </c>
      <c r="D45">
        <v>3</v>
      </c>
    </row>
    <row r="46" spans="1:4">
      <c r="A46" s="2" t="s">
        <v>128</v>
      </c>
      <c r="B46" t="s">
        <v>129</v>
      </c>
      <c r="C46" t="s">
        <v>130</v>
      </c>
      <c r="D46">
        <v>1</v>
      </c>
    </row>
    <row r="47" spans="1:4">
      <c r="A47" s="2" t="s">
        <v>131</v>
      </c>
      <c r="B47" t="s">
        <v>132</v>
      </c>
      <c r="C47" t="s">
        <v>133</v>
      </c>
      <c r="D47">
        <v>3</v>
      </c>
    </row>
    <row r="48" spans="1:4">
      <c r="A48" s="2" t="s">
        <v>134</v>
      </c>
      <c r="B48" t="s">
        <v>135</v>
      </c>
      <c r="C48" t="s">
        <v>136</v>
      </c>
      <c r="D48">
        <v>2</v>
      </c>
    </row>
    <row r="49" customFormat="1" spans="1:4">
      <c r="A49" t="s">
        <v>137</v>
      </c>
      <c r="C49" t="s">
        <v>138</v>
      </c>
      <c r="D49">
        <v>4</v>
      </c>
    </row>
    <row r="50" spans="1:4">
      <c r="A50" s="2" t="s">
        <v>139</v>
      </c>
      <c r="B50" t="s">
        <v>140</v>
      </c>
      <c r="C50" t="s">
        <v>141</v>
      </c>
      <c r="D50">
        <v>3</v>
      </c>
    </row>
    <row r="51" spans="1:4">
      <c r="A51" t="s">
        <v>142</v>
      </c>
      <c r="B51" t="s">
        <v>143</v>
      </c>
      <c r="C51" t="s">
        <v>144</v>
      </c>
      <c r="D51">
        <v>1</v>
      </c>
    </row>
    <row r="52" spans="1:4">
      <c r="A52" t="s">
        <v>145</v>
      </c>
      <c r="B52" t="s">
        <v>146</v>
      </c>
      <c r="C52" t="s">
        <v>147</v>
      </c>
      <c r="D52">
        <v>1</v>
      </c>
    </row>
    <row r="53" spans="1:4">
      <c r="A53" t="s">
        <v>148</v>
      </c>
      <c r="B53" t="s">
        <v>149</v>
      </c>
      <c r="C53" t="s">
        <v>150</v>
      </c>
      <c r="D53">
        <v>1</v>
      </c>
    </row>
    <row r="54" spans="1:4">
      <c r="A54" t="s">
        <v>151</v>
      </c>
      <c r="B54" t="s">
        <v>152</v>
      </c>
      <c r="C54" t="s">
        <v>153</v>
      </c>
      <c r="D54">
        <v>1</v>
      </c>
    </row>
    <row r="55" spans="1:4">
      <c r="A55" t="s">
        <v>154</v>
      </c>
      <c r="B55" t="s">
        <v>155</v>
      </c>
      <c r="C55" t="s">
        <v>156</v>
      </c>
      <c r="D55">
        <v>2</v>
      </c>
    </row>
    <row r="56" spans="1:4">
      <c r="A56" t="s">
        <v>157</v>
      </c>
      <c r="B56" t="s">
        <v>158</v>
      </c>
      <c r="C56" t="s">
        <v>159</v>
      </c>
      <c r="D56">
        <v>1</v>
      </c>
    </row>
    <row r="57" spans="1:6">
      <c r="A57" t="s">
        <v>160</v>
      </c>
      <c r="B57" t="s">
        <v>160</v>
      </c>
      <c r="D57">
        <v>5</v>
      </c>
      <c r="E57" s="1">
        <v>26400</v>
      </c>
      <c r="F57" s="1">
        <f>E57*D57</f>
        <v>132000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7"/>
  <sheetViews>
    <sheetView workbookViewId="0">
      <selection activeCell="F17" sqref="A17:F17"/>
    </sheetView>
  </sheetViews>
  <sheetFormatPr defaultColWidth="8.88888888888889" defaultRowHeight="14.4" outlineLevelCol="6"/>
  <cols>
    <col min="1" max="1" width="17.6666666666667" customWidth="1"/>
    <col min="2" max="2" width="74.4444444444444" customWidth="1"/>
    <col min="3" max="3" width="21" customWidth="1"/>
    <col min="5" max="5" width="14.2222222222222"/>
    <col min="6" max="6" width="15.4444444444444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5">
      <c r="A2">
        <v>10603226106.3</v>
      </c>
      <c r="B2" t="s">
        <v>161</v>
      </c>
      <c r="C2" t="s">
        <v>162</v>
      </c>
      <c r="D2">
        <v>2</v>
      </c>
      <c r="E2" s="1"/>
    </row>
    <row r="3" spans="1:5">
      <c r="A3" s="2" t="s">
        <v>163</v>
      </c>
      <c r="B3" t="s">
        <v>164</v>
      </c>
      <c r="C3" t="s">
        <v>165</v>
      </c>
      <c r="D3">
        <v>1</v>
      </c>
      <c r="E3" s="1"/>
    </row>
    <row r="4" spans="1:5">
      <c r="A4" t="s">
        <v>47</v>
      </c>
      <c r="C4" t="s">
        <v>166</v>
      </c>
      <c r="D4">
        <v>2</v>
      </c>
      <c r="E4" s="1"/>
    </row>
    <row r="5" spans="1:5">
      <c r="A5" t="s">
        <v>167</v>
      </c>
      <c r="B5" t="s">
        <v>168</v>
      </c>
      <c r="C5" t="s">
        <v>169</v>
      </c>
      <c r="D5">
        <v>1</v>
      </c>
      <c r="E5" s="1"/>
    </row>
    <row r="6" spans="1:5">
      <c r="A6" t="s">
        <v>49</v>
      </c>
      <c r="B6" t="s">
        <v>50</v>
      </c>
      <c r="C6" t="s">
        <v>170</v>
      </c>
      <c r="D6">
        <v>1</v>
      </c>
      <c r="E6" s="1"/>
    </row>
    <row r="7" spans="1:5">
      <c r="A7" t="s">
        <v>73</v>
      </c>
      <c r="B7" t="s">
        <v>74</v>
      </c>
      <c r="C7" t="s">
        <v>75</v>
      </c>
      <c r="D7">
        <v>1</v>
      </c>
      <c r="E7" s="1"/>
    </row>
    <row r="8" spans="1:5">
      <c r="A8" t="s">
        <v>171</v>
      </c>
      <c r="B8" t="s">
        <v>172</v>
      </c>
      <c r="C8" t="s">
        <v>173</v>
      </c>
      <c r="D8">
        <v>2</v>
      </c>
      <c r="E8" s="1"/>
    </row>
    <row r="9" spans="1:5">
      <c r="A9" t="s">
        <v>174</v>
      </c>
      <c r="C9" t="s">
        <v>175</v>
      </c>
      <c r="D9">
        <v>1</v>
      </c>
      <c r="E9" s="1"/>
    </row>
    <row r="10" spans="1:5">
      <c r="A10" t="s">
        <v>176</v>
      </c>
      <c r="B10" t="s">
        <v>177</v>
      </c>
      <c r="C10" t="s">
        <v>178</v>
      </c>
      <c r="D10">
        <v>4</v>
      </c>
      <c r="E10" s="1"/>
    </row>
    <row r="11" spans="1:5">
      <c r="A11" s="2" t="s">
        <v>128</v>
      </c>
      <c r="B11" t="s">
        <v>129</v>
      </c>
      <c r="C11" t="s">
        <v>179</v>
      </c>
      <c r="D11">
        <v>6</v>
      </c>
      <c r="E11" s="1"/>
    </row>
    <row r="12" spans="1:5">
      <c r="A12" s="2" t="s">
        <v>131</v>
      </c>
      <c r="B12" t="s">
        <v>132</v>
      </c>
      <c r="C12" t="s">
        <v>180</v>
      </c>
      <c r="D12">
        <v>3</v>
      </c>
      <c r="E12" s="1"/>
    </row>
    <row r="13" spans="1:5">
      <c r="A13" s="2" t="s">
        <v>122</v>
      </c>
      <c r="B13" t="s">
        <v>123</v>
      </c>
      <c r="C13" t="s">
        <v>181</v>
      </c>
      <c r="D13">
        <v>4</v>
      </c>
      <c r="E13" s="1"/>
    </row>
    <row r="14" spans="1:5">
      <c r="A14" t="s">
        <v>137</v>
      </c>
      <c r="C14" t="s">
        <v>182</v>
      </c>
      <c r="D14">
        <v>1</v>
      </c>
      <c r="E14" s="1"/>
    </row>
    <row r="15" spans="1:5">
      <c r="A15" t="s">
        <v>183</v>
      </c>
      <c r="B15" t="s">
        <v>184</v>
      </c>
      <c r="C15" t="s">
        <v>185</v>
      </c>
      <c r="D15">
        <v>2</v>
      </c>
      <c r="E15" s="1"/>
    </row>
    <row r="16" spans="1:5">
      <c r="A16" t="s">
        <v>186</v>
      </c>
      <c r="B16" t="s">
        <v>187</v>
      </c>
      <c r="C16" t="s">
        <v>188</v>
      </c>
      <c r="D16">
        <v>2</v>
      </c>
      <c r="E16" s="1"/>
    </row>
    <row r="17" spans="1:6">
      <c r="A17" t="s">
        <v>160</v>
      </c>
      <c r="B17" t="s">
        <v>189</v>
      </c>
      <c r="D17">
        <v>5</v>
      </c>
      <c r="E17" s="1">
        <v>62000</v>
      </c>
      <c r="F17" s="1">
        <f>E17*D17</f>
        <v>310000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"/>
  <sheetViews>
    <sheetView zoomScale="90" zoomScaleNormal="90" topLeftCell="C22" workbookViewId="0">
      <selection activeCell="C49" sqref="C49"/>
    </sheetView>
  </sheetViews>
  <sheetFormatPr defaultColWidth="8.88888888888889" defaultRowHeight="14.4" outlineLevelCol="6"/>
  <cols>
    <col min="1" max="1" width="21.7777777777778" customWidth="1"/>
    <col min="2" max="2" width="96.2222222222222" customWidth="1"/>
    <col min="3" max="3" width="139.111111111111" customWidth="1"/>
    <col min="5" max="5" width="14.2222222222222" customWidth="1"/>
    <col min="6" max="6" width="15.4444444444444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4">
      <c r="A2" s="2" t="s">
        <v>31</v>
      </c>
      <c r="B2" t="s">
        <v>32</v>
      </c>
      <c r="C2" t="s">
        <v>190</v>
      </c>
      <c r="D2">
        <v>7</v>
      </c>
    </row>
    <row r="3" spans="1:4">
      <c r="A3" s="2" t="s">
        <v>28</v>
      </c>
      <c r="B3" t="s">
        <v>29</v>
      </c>
      <c r="C3" t="s">
        <v>191</v>
      </c>
      <c r="D3">
        <v>1</v>
      </c>
    </row>
    <row r="4" spans="1:4">
      <c r="A4" s="2" t="s">
        <v>34</v>
      </c>
      <c r="B4" t="s">
        <v>35</v>
      </c>
      <c r="C4" t="s">
        <v>192</v>
      </c>
      <c r="D4">
        <v>2</v>
      </c>
    </row>
    <row r="5" spans="1:4">
      <c r="A5" s="2" t="s">
        <v>193</v>
      </c>
      <c r="B5" t="s">
        <v>194</v>
      </c>
      <c r="C5" t="s">
        <v>195</v>
      </c>
      <c r="D5">
        <v>2</v>
      </c>
    </row>
    <row r="6" spans="1:4">
      <c r="A6" s="2" t="s">
        <v>196</v>
      </c>
      <c r="B6" t="s">
        <v>197</v>
      </c>
      <c r="C6" t="s">
        <v>198</v>
      </c>
      <c r="D6">
        <v>2</v>
      </c>
    </row>
    <row r="7" spans="1:4">
      <c r="A7" s="2" t="s">
        <v>199</v>
      </c>
      <c r="B7" t="s">
        <v>200</v>
      </c>
      <c r="C7" t="s">
        <v>201</v>
      </c>
      <c r="D7">
        <v>2</v>
      </c>
    </row>
    <row r="8" spans="1:4">
      <c r="A8" s="2" t="s">
        <v>25</v>
      </c>
      <c r="B8" t="s">
        <v>26</v>
      </c>
      <c r="C8" t="s">
        <v>202</v>
      </c>
      <c r="D8">
        <v>2</v>
      </c>
    </row>
    <row r="9" spans="1:4">
      <c r="A9" t="s">
        <v>49</v>
      </c>
      <c r="B9" t="s">
        <v>50</v>
      </c>
      <c r="C9" t="s">
        <v>166</v>
      </c>
      <c r="D9">
        <v>2</v>
      </c>
    </row>
    <row r="10" spans="1:4">
      <c r="A10" t="s">
        <v>55</v>
      </c>
      <c r="B10" t="s">
        <v>56</v>
      </c>
      <c r="C10" t="s">
        <v>203</v>
      </c>
      <c r="D10">
        <v>2</v>
      </c>
    </row>
    <row r="11" spans="1:4">
      <c r="A11" t="s">
        <v>52</v>
      </c>
      <c r="B11" t="s">
        <v>53</v>
      </c>
      <c r="C11" t="s">
        <v>170</v>
      </c>
      <c r="D11">
        <v>1</v>
      </c>
    </row>
    <row r="12" spans="1:4">
      <c r="A12" t="s">
        <v>47</v>
      </c>
      <c r="C12" t="s">
        <v>204</v>
      </c>
      <c r="D12">
        <v>2</v>
      </c>
    </row>
    <row r="13" spans="1:4">
      <c r="A13" t="s">
        <v>40</v>
      </c>
      <c r="B13" t="s">
        <v>41</v>
      </c>
      <c r="C13" t="s">
        <v>205</v>
      </c>
      <c r="D13">
        <v>4</v>
      </c>
    </row>
    <row r="14" spans="1:4">
      <c r="A14" t="s">
        <v>206</v>
      </c>
      <c r="C14" t="s">
        <v>207</v>
      </c>
      <c r="D14">
        <v>4</v>
      </c>
    </row>
    <row r="15" spans="1:4">
      <c r="A15" t="s">
        <v>208</v>
      </c>
      <c r="B15" t="s">
        <v>209</v>
      </c>
      <c r="C15" t="s">
        <v>60</v>
      </c>
      <c r="D15">
        <v>1</v>
      </c>
    </row>
    <row r="16" spans="1:4">
      <c r="A16" s="2" t="s">
        <v>210</v>
      </c>
      <c r="B16" t="s">
        <v>211</v>
      </c>
      <c r="C16" t="s">
        <v>212</v>
      </c>
      <c r="D16">
        <v>2</v>
      </c>
    </row>
    <row r="17" spans="1:4">
      <c r="A17" s="2" t="s">
        <v>213</v>
      </c>
      <c r="B17" t="s">
        <v>68</v>
      </c>
      <c r="C17" t="s">
        <v>69</v>
      </c>
      <c r="D17">
        <v>1</v>
      </c>
    </row>
    <row r="18" spans="1:4">
      <c r="A18" t="s">
        <v>73</v>
      </c>
      <c r="B18" t="s">
        <v>74</v>
      </c>
      <c r="C18" t="s">
        <v>75</v>
      </c>
      <c r="D18">
        <v>1</v>
      </c>
    </row>
    <row r="19" spans="1:4">
      <c r="A19" t="s">
        <v>214</v>
      </c>
      <c r="B19" t="s">
        <v>215</v>
      </c>
      <c r="C19" t="s">
        <v>78</v>
      </c>
      <c r="D19">
        <v>1</v>
      </c>
    </row>
    <row r="20" spans="1:4">
      <c r="A20">
        <v>61031221821</v>
      </c>
      <c r="B20" t="s">
        <v>216</v>
      </c>
      <c r="C20" t="s">
        <v>217</v>
      </c>
      <c r="D20">
        <v>4</v>
      </c>
    </row>
    <row r="21" spans="1:4">
      <c r="A21" s="2" t="s">
        <v>106</v>
      </c>
      <c r="B21" t="s">
        <v>107</v>
      </c>
      <c r="C21" t="s">
        <v>218</v>
      </c>
      <c r="D21">
        <v>1</v>
      </c>
    </row>
    <row r="22" spans="1:4">
      <c r="A22">
        <v>61300411021</v>
      </c>
      <c r="B22" t="s">
        <v>219</v>
      </c>
      <c r="C22" t="s">
        <v>220</v>
      </c>
      <c r="D22">
        <v>1</v>
      </c>
    </row>
    <row r="23" spans="1:4">
      <c r="A23" s="2" t="s">
        <v>100</v>
      </c>
      <c r="B23" t="s">
        <v>101</v>
      </c>
      <c r="C23" t="s">
        <v>221</v>
      </c>
      <c r="D23">
        <v>1</v>
      </c>
    </row>
    <row r="24" spans="1:4">
      <c r="A24">
        <v>61030621121</v>
      </c>
      <c r="B24" t="s">
        <v>96</v>
      </c>
      <c r="C24" t="s">
        <v>222</v>
      </c>
      <c r="D24">
        <v>1</v>
      </c>
    </row>
    <row r="25" spans="1:4">
      <c r="A25" t="s">
        <v>113</v>
      </c>
      <c r="B25" t="s">
        <v>114</v>
      </c>
      <c r="C25" t="s">
        <v>115</v>
      </c>
      <c r="D25">
        <v>3</v>
      </c>
    </row>
    <row r="26" spans="1:4">
      <c r="A26" t="s">
        <v>223</v>
      </c>
      <c r="B26" t="s">
        <v>224</v>
      </c>
      <c r="C26" t="s">
        <v>225</v>
      </c>
      <c r="D26">
        <v>3</v>
      </c>
    </row>
    <row r="27" spans="1:4">
      <c r="A27" s="2" t="s">
        <v>131</v>
      </c>
      <c r="B27" t="s">
        <v>132</v>
      </c>
      <c r="C27" t="s">
        <v>226</v>
      </c>
      <c r="D27">
        <v>4</v>
      </c>
    </row>
    <row r="28" spans="1:4">
      <c r="A28" s="2" t="s">
        <v>119</v>
      </c>
      <c r="B28" t="s">
        <v>120</v>
      </c>
      <c r="C28" t="s">
        <v>227</v>
      </c>
      <c r="D28">
        <v>4</v>
      </c>
    </row>
    <row r="29" spans="1:4">
      <c r="A29" s="2" t="s">
        <v>122</v>
      </c>
      <c r="B29" t="s">
        <v>123</v>
      </c>
      <c r="C29" t="s">
        <v>228</v>
      </c>
      <c r="D29">
        <v>9</v>
      </c>
    </row>
    <row r="30" spans="1:4">
      <c r="A30" s="2" t="s">
        <v>229</v>
      </c>
      <c r="B30" t="s">
        <v>230</v>
      </c>
      <c r="C30" t="s">
        <v>231</v>
      </c>
      <c r="D30">
        <v>1</v>
      </c>
    </row>
    <row r="31" spans="1:4">
      <c r="A31" s="2" t="s">
        <v>232</v>
      </c>
      <c r="B31" t="s">
        <v>233</v>
      </c>
      <c r="C31" t="s">
        <v>234</v>
      </c>
      <c r="D31">
        <v>6</v>
      </c>
    </row>
    <row r="32" spans="1:4">
      <c r="A32" t="s">
        <v>137</v>
      </c>
      <c r="C32" t="s">
        <v>138</v>
      </c>
      <c r="D32">
        <v>4</v>
      </c>
    </row>
    <row r="33" spans="1:4">
      <c r="A33" s="2" t="s">
        <v>235</v>
      </c>
      <c r="B33" t="s">
        <v>236</v>
      </c>
      <c r="C33" t="s">
        <v>237</v>
      </c>
      <c r="D33">
        <v>5</v>
      </c>
    </row>
    <row r="34" spans="1:4">
      <c r="A34" t="s">
        <v>238</v>
      </c>
      <c r="B34" t="s">
        <v>239</v>
      </c>
      <c r="C34" t="s">
        <v>144</v>
      </c>
      <c r="D34">
        <v>1</v>
      </c>
    </row>
    <row r="35" spans="1:4">
      <c r="A35" t="s">
        <v>240</v>
      </c>
      <c r="B35" t="s">
        <v>241</v>
      </c>
      <c r="C35" t="s">
        <v>147</v>
      </c>
      <c r="D35">
        <v>1</v>
      </c>
    </row>
    <row r="36" spans="1:4">
      <c r="A36" t="s">
        <v>148</v>
      </c>
      <c r="B36" t="s">
        <v>149</v>
      </c>
      <c r="C36" t="s">
        <v>150</v>
      </c>
      <c r="D36">
        <v>1</v>
      </c>
    </row>
    <row r="37" spans="1:4">
      <c r="A37" t="s">
        <v>242</v>
      </c>
      <c r="B37" t="s">
        <v>155</v>
      </c>
      <c r="C37" t="s">
        <v>243</v>
      </c>
      <c r="D37">
        <v>1</v>
      </c>
    </row>
    <row r="38" spans="1:6">
      <c r="A38" t="s">
        <v>160</v>
      </c>
      <c r="B38" t="s">
        <v>189</v>
      </c>
      <c r="D38">
        <v>5</v>
      </c>
      <c r="E38" s="1">
        <v>62000</v>
      </c>
      <c r="F38" s="1">
        <f>E38*D38</f>
        <v>310000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0"/>
  <sheetViews>
    <sheetView tabSelected="1" topLeftCell="C5" workbookViewId="0">
      <selection activeCell="G5" sqref="G5"/>
    </sheetView>
  </sheetViews>
  <sheetFormatPr defaultColWidth="8.88888888888889" defaultRowHeight="14.4" outlineLevelCol="6"/>
  <cols>
    <col min="1" max="1" width="27.6666666666667" customWidth="1"/>
    <col min="2" max="2" width="99.7777777777778" customWidth="1"/>
    <col min="3" max="3" width="255.777777777778" customWidth="1"/>
    <col min="5" max="5" width="15.4444444444444"/>
    <col min="6" max="6" width="17.1111111111111" customWidth="1"/>
    <col min="7" max="7" width="13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4">
      <c r="A2" t="s">
        <v>244</v>
      </c>
      <c r="B2" t="s">
        <v>245</v>
      </c>
      <c r="C2" t="s">
        <v>246</v>
      </c>
      <c r="D2">
        <v>36</v>
      </c>
    </row>
    <row r="3" spans="1:4">
      <c r="A3" t="s">
        <v>247</v>
      </c>
      <c r="B3" t="s">
        <v>248</v>
      </c>
      <c r="C3" t="s">
        <v>249</v>
      </c>
      <c r="D3">
        <v>9</v>
      </c>
    </row>
    <row r="4" spans="1:4">
      <c r="A4" t="s">
        <v>250</v>
      </c>
      <c r="B4" t="s">
        <v>32</v>
      </c>
      <c r="C4" t="s">
        <v>251</v>
      </c>
      <c r="D4">
        <v>12</v>
      </c>
    </row>
    <row r="5" spans="1:4">
      <c r="A5" t="s">
        <v>252</v>
      </c>
      <c r="B5" t="s">
        <v>29</v>
      </c>
      <c r="C5" t="s">
        <v>253</v>
      </c>
      <c r="D5">
        <v>3</v>
      </c>
    </row>
    <row r="6" spans="1:4">
      <c r="A6" t="s">
        <v>250</v>
      </c>
      <c r="B6" t="s">
        <v>254</v>
      </c>
      <c r="C6" t="s">
        <v>255</v>
      </c>
      <c r="D6">
        <v>1</v>
      </c>
    </row>
    <row r="7" spans="1:4">
      <c r="A7" t="s">
        <v>256</v>
      </c>
      <c r="B7" t="s">
        <v>17</v>
      </c>
      <c r="C7" t="s">
        <v>36</v>
      </c>
      <c r="D7">
        <v>1</v>
      </c>
    </row>
    <row r="8" spans="1:4">
      <c r="A8" t="s">
        <v>257</v>
      </c>
      <c r="B8" t="s">
        <v>35</v>
      </c>
      <c r="C8" t="s">
        <v>258</v>
      </c>
      <c r="D8">
        <v>3</v>
      </c>
    </row>
    <row r="9" spans="1:4">
      <c r="A9" t="s">
        <v>259</v>
      </c>
      <c r="B9" t="s">
        <v>260</v>
      </c>
      <c r="C9" t="s">
        <v>261</v>
      </c>
      <c r="D9">
        <v>2</v>
      </c>
    </row>
    <row r="10" spans="1:4">
      <c r="A10" t="s">
        <v>257</v>
      </c>
      <c r="B10" t="s">
        <v>20</v>
      </c>
      <c r="C10" t="s">
        <v>262</v>
      </c>
      <c r="D10">
        <v>1</v>
      </c>
    </row>
    <row r="11" spans="1:4">
      <c r="A11" t="s">
        <v>263</v>
      </c>
      <c r="B11" t="s">
        <v>197</v>
      </c>
      <c r="C11" t="s">
        <v>264</v>
      </c>
      <c r="D11">
        <v>2</v>
      </c>
    </row>
    <row r="12" spans="1:4">
      <c r="A12" t="s">
        <v>265</v>
      </c>
      <c r="B12" t="s">
        <v>266</v>
      </c>
      <c r="C12" t="s">
        <v>267</v>
      </c>
      <c r="D12">
        <v>4</v>
      </c>
    </row>
    <row r="13" spans="1:4">
      <c r="A13" t="s">
        <v>265</v>
      </c>
      <c r="B13" t="s">
        <v>266</v>
      </c>
      <c r="C13" t="s">
        <v>268</v>
      </c>
      <c r="D13">
        <v>5</v>
      </c>
    </row>
    <row r="14" spans="1:4">
      <c r="A14" t="s">
        <v>269</v>
      </c>
      <c r="B14" t="s">
        <v>38</v>
      </c>
      <c r="C14" t="s">
        <v>204</v>
      </c>
      <c r="D14">
        <v>2</v>
      </c>
    </row>
    <row r="15" spans="1:4">
      <c r="A15" t="s">
        <v>270</v>
      </c>
      <c r="B15" t="s">
        <v>271</v>
      </c>
      <c r="C15" t="s">
        <v>272</v>
      </c>
      <c r="D15">
        <v>5</v>
      </c>
    </row>
    <row r="16" spans="1:4">
      <c r="A16" t="s">
        <v>273</v>
      </c>
      <c r="B16" t="s">
        <v>274</v>
      </c>
      <c r="C16" t="s">
        <v>72</v>
      </c>
      <c r="D16">
        <v>1</v>
      </c>
    </row>
    <row r="17" spans="1:4">
      <c r="A17" t="s">
        <v>275</v>
      </c>
      <c r="C17" t="s">
        <v>78</v>
      </c>
      <c r="D17">
        <v>1</v>
      </c>
    </row>
    <row r="18" spans="1:4">
      <c r="A18">
        <v>61300621121</v>
      </c>
      <c r="B18" t="s">
        <v>276</v>
      </c>
      <c r="C18" t="s">
        <v>218</v>
      </c>
      <c r="D18">
        <v>1</v>
      </c>
    </row>
    <row r="19" spans="1:4">
      <c r="A19">
        <v>61300411121</v>
      </c>
      <c r="B19" t="s">
        <v>277</v>
      </c>
      <c r="C19" t="s">
        <v>220</v>
      </c>
      <c r="D19">
        <v>1</v>
      </c>
    </row>
    <row r="20" spans="1:4">
      <c r="A20" s="2" t="s">
        <v>106</v>
      </c>
      <c r="B20" t="s">
        <v>107</v>
      </c>
      <c r="C20" t="s">
        <v>221</v>
      </c>
      <c r="D20">
        <v>1</v>
      </c>
    </row>
    <row r="21" spans="1:4">
      <c r="A21" s="2" t="s">
        <v>100</v>
      </c>
      <c r="B21" t="s">
        <v>101</v>
      </c>
      <c r="C21" t="s">
        <v>222</v>
      </c>
      <c r="D21">
        <v>1</v>
      </c>
    </row>
    <row r="22" spans="1:4">
      <c r="A22" t="s">
        <v>278</v>
      </c>
      <c r="B22" t="s">
        <v>279</v>
      </c>
      <c r="C22" t="s">
        <v>280</v>
      </c>
      <c r="D22">
        <v>4</v>
      </c>
    </row>
    <row r="23" spans="1:4">
      <c r="A23" t="s">
        <v>281</v>
      </c>
      <c r="B23" t="s">
        <v>282</v>
      </c>
      <c r="C23" t="s">
        <v>283</v>
      </c>
      <c r="D23">
        <v>9</v>
      </c>
    </row>
    <row r="24" spans="1:4">
      <c r="A24" t="s">
        <v>278</v>
      </c>
      <c r="B24" t="s">
        <v>279</v>
      </c>
      <c r="C24" t="s">
        <v>284</v>
      </c>
      <c r="D24">
        <v>5</v>
      </c>
    </row>
    <row r="25" spans="1:4">
      <c r="A25" t="s">
        <v>285</v>
      </c>
      <c r="B25" t="s">
        <v>286</v>
      </c>
      <c r="C25" t="s">
        <v>287</v>
      </c>
      <c r="D25">
        <v>9</v>
      </c>
    </row>
    <row r="26" spans="1:4">
      <c r="A26" t="s">
        <v>288</v>
      </c>
      <c r="B26" t="s">
        <v>289</v>
      </c>
      <c r="C26" t="s">
        <v>290</v>
      </c>
      <c r="D26">
        <v>23</v>
      </c>
    </row>
    <row r="27" spans="1:4">
      <c r="A27" t="s">
        <v>291</v>
      </c>
      <c r="B27" t="s">
        <v>292</v>
      </c>
      <c r="C27" t="s">
        <v>293</v>
      </c>
      <c r="D27">
        <v>2</v>
      </c>
    </row>
    <row r="28" spans="1:4">
      <c r="A28" t="s">
        <v>294</v>
      </c>
      <c r="B28" t="s">
        <v>132</v>
      </c>
      <c r="C28" t="s">
        <v>295</v>
      </c>
      <c r="D28">
        <v>2</v>
      </c>
    </row>
    <row r="29" spans="1:4">
      <c r="A29" t="s">
        <v>296</v>
      </c>
      <c r="B29" t="s">
        <v>123</v>
      </c>
      <c r="C29" t="s">
        <v>297</v>
      </c>
      <c r="D29">
        <v>1</v>
      </c>
    </row>
    <row r="30" spans="1:4">
      <c r="A30" t="s">
        <v>298</v>
      </c>
      <c r="B30" t="s">
        <v>299</v>
      </c>
      <c r="C30" t="s">
        <v>300</v>
      </c>
      <c r="D30">
        <v>1</v>
      </c>
    </row>
    <row r="31" spans="1:4">
      <c r="A31" t="s">
        <v>301</v>
      </c>
      <c r="B31" t="s">
        <v>120</v>
      </c>
      <c r="C31" t="s">
        <v>302</v>
      </c>
      <c r="D31">
        <v>2</v>
      </c>
    </row>
    <row r="32" spans="1:4">
      <c r="A32" t="s">
        <v>303</v>
      </c>
      <c r="B32" t="s">
        <v>230</v>
      </c>
      <c r="C32" t="s">
        <v>304</v>
      </c>
      <c r="D32">
        <v>1</v>
      </c>
    </row>
    <row r="33" spans="1:4">
      <c r="A33" t="s">
        <v>305</v>
      </c>
      <c r="B33" t="s">
        <v>132</v>
      </c>
      <c r="C33" t="s">
        <v>306</v>
      </c>
      <c r="D33">
        <v>2</v>
      </c>
    </row>
    <row r="34" spans="1:4">
      <c r="A34" t="s">
        <v>307</v>
      </c>
      <c r="C34" t="s">
        <v>138</v>
      </c>
      <c r="D34">
        <v>4</v>
      </c>
    </row>
    <row r="35" spans="1:4">
      <c r="A35" s="2" t="s">
        <v>308</v>
      </c>
      <c r="B35" t="s">
        <v>309</v>
      </c>
      <c r="C35" t="s">
        <v>141</v>
      </c>
      <c r="D35">
        <v>3</v>
      </c>
    </row>
    <row r="36" spans="1:4">
      <c r="A36" t="s">
        <v>151</v>
      </c>
      <c r="B36" t="s">
        <v>152</v>
      </c>
      <c r="C36" t="s">
        <v>147</v>
      </c>
      <c r="D36">
        <v>1</v>
      </c>
    </row>
    <row r="37" spans="1:4">
      <c r="A37" t="s">
        <v>310</v>
      </c>
      <c r="B37" t="s">
        <v>149</v>
      </c>
      <c r="C37" t="s">
        <v>150</v>
      </c>
      <c r="D37">
        <v>1</v>
      </c>
    </row>
    <row r="38" spans="1:4">
      <c r="A38" t="s">
        <v>311</v>
      </c>
      <c r="B38" t="s">
        <v>241</v>
      </c>
      <c r="C38" t="s">
        <v>153</v>
      </c>
      <c r="D38">
        <v>1</v>
      </c>
    </row>
    <row r="39" spans="1:4">
      <c r="A39" t="s">
        <v>312</v>
      </c>
      <c r="B39" t="s">
        <v>313</v>
      </c>
      <c r="C39" t="s">
        <v>243</v>
      </c>
      <c r="D39">
        <v>1</v>
      </c>
    </row>
    <row r="40" spans="1:6">
      <c r="A40" t="s">
        <v>160</v>
      </c>
      <c r="B40" t="s">
        <v>160</v>
      </c>
      <c r="E40" s="1">
        <v>20000</v>
      </c>
      <c r="F40" s="1">
        <f>E40*D40</f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8"/>
  <sheetViews>
    <sheetView workbookViewId="0">
      <selection activeCell="E18" sqref="E18"/>
    </sheetView>
  </sheetViews>
  <sheetFormatPr defaultColWidth="8.88888888888889" defaultRowHeight="14.4" outlineLevelCol="6"/>
  <cols>
    <col min="1" max="1" width="15.2222222222222" customWidth="1"/>
    <col min="2" max="2" width="70.8888888888889" customWidth="1"/>
    <col min="3" max="3" width="64" customWidth="1"/>
    <col min="5" max="5" width="14.2222222222222" customWidth="1"/>
    <col min="6" max="6" width="15.4444444444444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4">
      <c r="A2" s="2" t="s">
        <v>25</v>
      </c>
      <c r="B2" t="s">
        <v>26</v>
      </c>
      <c r="C2" t="s">
        <v>314</v>
      </c>
      <c r="D2">
        <v>2</v>
      </c>
    </row>
    <row r="3" spans="1:4">
      <c r="A3" t="s">
        <v>40</v>
      </c>
      <c r="B3" t="s">
        <v>41</v>
      </c>
      <c r="C3" t="s">
        <v>315</v>
      </c>
      <c r="D3">
        <v>2</v>
      </c>
    </row>
    <row r="4" spans="1:4">
      <c r="A4" t="s">
        <v>206</v>
      </c>
      <c r="C4" t="s">
        <v>42</v>
      </c>
      <c r="D4">
        <v>4</v>
      </c>
    </row>
    <row r="5" spans="1:4">
      <c r="A5" t="s">
        <v>55</v>
      </c>
      <c r="B5" t="s">
        <v>56</v>
      </c>
      <c r="C5" t="s">
        <v>316</v>
      </c>
      <c r="D5">
        <v>1</v>
      </c>
    </row>
    <row r="6" spans="1:4">
      <c r="A6" s="2" t="s">
        <v>317</v>
      </c>
      <c r="B6" t="s">
        <v>318</v>
      </c>
      <c r="C6" t="s">
        <v>60</v>
      </c>
      <c r="D6">
        <v>3</v>
      </c>
    </row>
    <row r="7" spans="1:4">
      <c r="A7" t="s">
        <v>73</v>
      </c>
      <c r="B7" t="s">
        <v>74</v>
      </c>
      <c r="C7" t="s">
        <v>75</v>
      </c>
      <c r="D7">
        <v>1</v>
      </c>
    </row>
    <row r="8" spans="1:4">
      <c r="A8">
        <v>61032421821</v>
      </c>
      <c r="B8" t="s">
        <v>79</v>
      </c>
      <c r="C8" t="s">
        <v>319</v>
      </c>
      <c r="D8">
        <v>1</v>
      </c>
    </row>
    <row r="9" spans="1:4">
      <c r="A9">
        <v>61030821821</v>
      </c>
      <c r="B9" t="s">
        <v>320</v>
      </c>
      <c r="C9" t="s">
        <v>321</v>
      </c>
      <c r="D9">
        <v>16</v>
      </c>
    </row>
    <row r="10" spans="1:4">
      <c r="A10">
        <v>61032021821</v>
      </c>
      <c r="B10" t="s">
        <v>84</v>
      </c>
      <c r="C10" t="s">
        <v>322</v>
      </c>
      <c r="D10">
        <v>3</v>
      </c>
    </row>
    <row r="11" spans="1:4">
      <c r="A11">
        <v>61002421121</v>
      </c>
      <c r="B11" t="s">
        <v>98</v>
      </c>
      <c r="C11" t="s">
        <v>323</v>
      </c>
      <c r="D11">
        <v>1</v>
      </c>
    </row>
    <row r="12" spans="1:4">
      <c r="A12">
        <v>61032021121</v>
      </c>
      <c r="B12" t="s">
        <v>109</v>
      </c>
      <c r="C12" t="s">
        <v>222</v>
      </c>
      <c r="D12">
        <v>1</v>
      </c>
    </row>
    <row r="13" spans="1:4">
      <c r="A13">
        <v>61300311121</v>
      </c>
      <c r="B13" t="s">
        <v>324</v>
      </c>
      <c r="C13" t="s">
        <v>325</v>
      </c>
      <c r="D13">
        <v>2</v>
      </c>
    </row>
    <row r="14" spans="1:4">
      <c r="A14" t="s">
        <v>223</v>
      </c>
      <c r="B14" t="s">
        <v>224</v>
      </c>
      <c r="C14" t="s">
        <v>115</v>
      </c>
      <c r="D14">
        <v>3</v>
      </c>
    </row>
    <row r="15" spans="1:4">
      <c r="A15" s="2" t="s">
        <v>232</v>
      </c>
      <c r="B15" t="s">
        <v>233</v>
      </c>
      <c r="C15" t="s">
        <v>326</v>
      </c>
      <c r="D15">
        <v>3</v>
      </c>
    </row>
    <row r="16" spans="1:4">
      <c r="A16" s="2" t="s">
        <v>131</v>
      </c>
      <c r="B16" t="s">
        <v>132</v>
      </c>
      <c r="C16" t="s">
        <v>327</v>
      </c>
      <c r="D16">
        <v>1</v>
      </c>
    </row>
    <row r="17" spans="1:4">
      <c r="A17" t="s">
        <v>137</v>
      </c>
      <c r="C17" t="s">
        <v>138</v>
      </c>
      <c r="D17">
        <v>1</v>
      </c>
    </row>
    <row r="18" spans="1:6">
      <c r="A18" t="s">
        <v>160</v>
      </c>
      <c r="B18" t="s">
        <v>160</v>
      </c>
      <c r="D18">
        <v>5</v>
      </c>
      <c r="E18" s="1">
        <v>26400</v>
      </c>
      <c r="F18" s="1">
        <f>E18*D18</f>
        <v>132000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MainBoard</vt:lpstr>
      <vt:lpstr>HBridgeDriver</vt:lpstr>
      <vt:lpstr>HBridgeMCU</vt:lpstr>
      <vt:lpstr>MainSensor</vt:lpstr>
      <vt:lpstr>ServoShield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crypt</dc:creator>
  <cp:lastModifiedBy>crypt</cp:lastModifiedBy>
  <dcterms:created xsi:type="dcterms:W3CDTF">2025-07-19T07:23:00Z</dcterms:created>
  <dcterms:modified xsi:type="dcterms:W3CDTF">2025-07-26T00:04:15Z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D0ED26F332204E348B545276C0768599_11</vt:lpwstr>
  </property>
  <property fmtid="{D5CDD505-2E9C-101B-9397-08002B2CF9AE}" pid="3" name="KSOProductBuildVer">
    <vt:lpwstr>1033-12.2.0.21931</vt:lpwstr>
  </property>
</Properties>
</file>